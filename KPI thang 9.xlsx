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hle/Documents/Antigravity/Tính KPI Znews Q4 2026/"/>
    </mc:Choice>
  </mc:AlternateContent>
  <xr:revisionPtr revIDLastSave="0" documentId="8_{46FA228F-4E19-DA4D-BB67-EC469BB7752B}" xr6:coauthVersionLast="47" xr6:coauthVersionMax="47" xr10:uidLastSave="{00000000-0000-0000-0000-000000000000}"/>
  <bookViews>
    <workbookView xWindow="12380" yWindow="6480" windowWidth="27240" windowHeight="16180" xr2:uid="{5452CBB4-B1F9-EF40-ADE5-48DDE0B14B63}"/>
  </bookViews>
  <sheets>
    <sheet name="KPI Q4 từ T9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3" i="1" l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M64" i="1"/>
  <c r="L64" i="1"/>
  <c r="K64" i="1"/>
  <c r="J64" i="1"/>
  <c r="I64" i="1"/>
  <c r="H64" i="1"/>
  <c r="G64" i="1"/>
  <c r="F64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D40" i="1"/>
  <c r="C40" i="1"/>
  <c r="C39" i="1"/>
  <c r="A38" i="1"/>
  <c r="E16" i="1"/>
  <c r="C8" i="1"/>
  <c r="C5" i="1"/>
  <c r="D39" i="1" l="1"/>
  <c r="E40" i="1"/>
  <c r="E39" i="1" s="1"/>
  <c r="C16" i="1"/>
  <c r="B21" i="1"/>
  <c r="C21" i="1" s="1"/>
  <c r="B23" i="1"/>
  <c r="C23" i="1" s="1"/>
  <c r="C6" i="1"/>
  <c r="B22" i="1"/>
  <c r="C22" i="1" s="1"/>
  <c r="B26" i="1"/>
  <c r="C26" i="1" s="1"/>
  <c r="B34" i="1"/>
  <c r="C34" i="1" s="1"/>
  <c r="B33" i="1"/>
  <c r="C33" i="1" s="1"/>
  <c r="B27" i="1"/>
  <c r="C27" i="1" s="1"/>
  <c r="C7" i="1"/>
  <c r="C9" i="1"/>
  <c r="D16" i="1" s="1"/>
  <c r="B35" i="1"/>
  <c r="C35" i="1" s="1"/>
  <c r="B24" i="1"/>
  <c r="C24" i="1" s="1"/>
  <c r="B19" i="1"/>
  <c r="C19" i="1" s="1"/>
  <c r="B17" i="1"/>
  <c r="C17" i="1" s="1"/>
  <c r="B16" i="1"/>
  <c r="B20" i="1"/>
  <c r="C20" i="1" s="1"/>
  <c r="B25" i="1"/>
  <c r="C25" i="1" s="1"/>
  <c r="B30" i="1"/>
  <c r="C30" i="1" s="1"/>
  <c r="B31" i="1"/>
  <c r="C31" i="1" s="1"/>
  <c r="B32" i="1"/>
  <c r="C32" i="1" s="1"/>
  <c r="B28" i="1"/>
  <c r="C28" i="1" s="1"/>
  <c r="B18" i="1"/>
  <c r="C18" i="1" s="1"/>
  <c r="C10" i="1"/>
  <c r="B29" i="1"/>
  <c r="C29" i="1" s="1"/>
  <c r="E21" i="1" l="1"/>
  <c r="B69" i="1"/>
  <c r="C69" i="1"/>
  <c r="G21" i="1"/>
  <c r="E69" i="1"/>
  <c r="D21" i="1"/>
  <c r="F21" i="1" s="1"/>
  <c r="D69" i="1"/>
  <c r="E23" i="1"/>
  <c r="D23" i="1"/>
  <c r="F23" i="1" s="1"/>
  <c r="G23" i="1"/>
  <c r="B71" i="1"/>
  <c r="C71" i="1"/>
  <c r="D71" i="1"/>
  <c r="E71" i="1"/>
  <c r="D70" i="1"/>
  <c r="E22" i="1"/>
  <c r="G22" i="1"/>
  <c r="E70" i="1"/>
  <c r="D22" i="1"/>
  <c r="F22" i="1"/>
  <c r="B70" i="1"/>
  <c r="C70" i="1"/>
  <c r="B74" i="1"/>
  <c r="C74" i="1"/>
  <c r="D74" i="1"/>
  <c r="E74" i="1"/>
  <c r="D26" i="1"/>
  <c r="F26" i="1" s="1"/>
  <c r="E26" i="1"/>
  <c r="G26" i="1" s="1"/>
  <c r="E34" i="1"/>
  <c r="G34" i="1"/>
  <c r="B82" i="1"/>
  <c r="C82" i="1"/>
  <c r="D82" i="1"/>
  <c r="E82" i="1"/>
  <c r="D34" i="1"/>
  <c r="F34" i="1" s="1"/>
  <c r="E33" i="1"/>
  <c r="G33" i="1"/>
  <c r="D33" i="1"/>
  <c r="F33" i="1"/>
  <c r="B81" i="1"/>
  <c r="C81" i="1"/>
  <c r="D81" i="1"/>
  <c r="E81" i="1"/>
  <c r="B75" i="1"/>
  <c r="C75" i="1"/>
  <c r="D75" i="1"/>
  <c r="E75" i="1"/>
  <c r="E27" i="1"/>
  <c r="G27" i="1" s="1"/>
  <c r="D27" i="1"/>
  <c r="F27" i="1" s="1"/>
  <c r="E35" i="1"/>
  <c r="D35" i="1"/>
  <c r="F35" i="1" s="1"/>
  <c r="G35" i="1"/>
  <c r="B83" i="1"/>
  <c r="C83" i="1"/>
  <c r="D83" i="1"/>
  <c r="E83" i="1"/>
  <c r="D24" i="1"/>
  <c r="B72" i="1"/>
  <c r="C72" i="1"/>
  <c r="D72" i="1"/>
  <c r="E72" i="1"/>
  <c r="E24" i="1"/>
  <c r="F24" i="1"/>
  <c r="G24" i="1"/>
  <c r="D67" i="1"/>
  <c r="D19" i="1"/>
  <c r="F19" i="1" s="1"/>
  <c r="B67" i="1"/>
  <c r="C67" i="1"/>
  <c r="E67" i="1"/>
  <c r="E19" i="1"/>
  <c r="G19" i="1" s="1"/>
  <c r="E17" i="1"/>
  <c r="D65" i="1"/>
  <c r="E65" i="1"/>
  <c r="D17" i="1"/>
  <c r="B65" i="1"/>
  <c r="C65" i="1"/>
  <c r="G17" i="1"/>
  <c r="F17" i="1"/>
  <c r="E20" i="1"/>
  <c r="D20" i="1"/>
  <c r="B68" i="1"/>
  <c r="C68" i="1"/>
  <c r="D68" i="1"/>
  <c r="E68" i="1"/>
  <c r="F20" i="1"/>
  <c r="G20" i="1"/>
  <c r="E25" i="1"/>
  <c r="D25" i="1"/>
  <c r="F25" i="1" s="1"/>
  <c r="G25" i="1"/>
  <c r="B73" i="1"/>
  <c r="C73" i="1"/>
  <c r="D73" i="1"/>
  <c r="E73" i="1"/>
  <c r="D30" i="1"/>
  <c r="F30" i="1" s="1"/>
  <c r="E30" i="1"/>
  <c r="G30" i="1" s="1"/>
  <c r="B78" i="1"/>
  <c r="C78" i="1"/>
  <c r="D78" i="1"/>
  <c r="E78" i="1"/>
  <c r="E31" i="1"/>
  <c r="B79" i="1"/>
  <c r="C79" i="1"/>
  <c r="D79" i="1"/>
  <c r="E79" i="1"/>
  <c r="D31" i="1"/>
  <c r="F31" i="1" s="1"/>
  <c r="G31" i="1"/>
  <c r="D32" i="1"/>
  <c r="E32" i="1"/>
  <c r="G32" i="1"/>
  <c r="F32" i="1"/>
  <c r="B80" i="1"/>
  <c r="C80" i="1"/>
  <c r="D80" i="1"/>
  <c r="E80" i="1"/>
  <c r="E28" i="1"/>
  <c r="G28" i="1"/>
  <c r="B76" i="1"/>
  <c r="C76" i="1"/>
  <c r="D76" i="1"/>
  <c r="E76" i="1"/>
  <c r="D28" i="1"/>
  <c r="F28" i="1"/>
  <c r="B66" i="1"/>
  <c r="D18" i="1"/>
  <c r="F18" i="1" s="1"/>
  <c r="E18" i="1"/>
  <c r="G18" i="1" s="1"/>
  <c r="D66" i="1"/>
  <c r="C66" i="1"/>
  <c r="E66" i="1"/>
  <c r="E29" i="1"/>
  <c r="G29" i="1" s="1"/>
  <c r="B77" i="1"/>
  <c r="C77" i="1"/>
  <c r="D77" i="1"/>
  <c r="E77" i="1"/>
  <c r="D29" i="1"/>
  <c r="F29" i="1"/>
  <c r="F39" i="1"/>
  <c r="L69" i="1" l="1"/>
  <c r="J69" i="1"/>
  <c r="K69" i="1"/>
  <c r="M69" i="1"/>
  <c r="B45" i="1"/>
  <c r="F69" i="1"/>
  <c r="G69" i="1"/>
  <c r="H69" i="1"/>
  <c r="I69" i="1"/>
  <c r="M71" i="1"/>
  <c r="J71" i="1"/>
  <c r="K71" i="1"/>
  <c r="L71" i="1"/>
  <c r="B47" i="1"/>
  <c r="F71" i="1"/>
  <c r="G71" i="1"/>
  <c r="H71" i="1"/>
  <c r="I71" i="1"/>
  <c r="K70" i="1"/>
  <c r="M70" i="1"/>
  <c r="L70" i="1"/>
  <c r="J70" i="1"/>
  <c r="B46" i="1"/>
  <c r="G70" i="1"/>
  <c r="F70" i="1"/>
  <c r="I70" i="1"/>
  <c r="H70" i="1"/>
  <c r="B50" i="1"/>
  <c r="F74" i="1"/>
  <c r="G74" i="1"/>
  <c r="H74" i="1"/>
  <c r="I74" i="1"/>
  <c r="J74" i="1"/>
  <c r="K74" i="1"/>
  <c r="L74" i="1"/>
  <c r="M74" i="1"/>
  <c r="J82" i="1"/>
  <c r="K82" i="1"/>
  <c r="L82" i="1"/>
  <c r="M82" i="1"/>
  <c r="B58" i="1"/>
  <c r="F82" i="1"/>
  <c r="G82" i="1"/>
  <c r="H82" i="1"/>
  <c r="I82" i="1"/>
  <c r="J81" i="1"/>
  <c r="K81" i="1"/>
  <c r="L81" i="1"/>
  <c r="M81" i="1"/>
  <c r="B57" i="1"/>
  <c r="F81" i="1"/>
  <c r="G81" i="1"/>
  <c r="H81" i="1"/>
  <c r="I81" i="1"/>
  <c r="J75" i="1"/>
  <c r="K75" i="1"/>
  <c r="L75" i="1"/>
  <c r="M75" i="1"/>
  <c r="B51" i="1"/>
  <c r="F75" i="1"/>
  <c r="G75" i="1"/>
  <c r="H75" i="1"/>
  <c r="I75" i="1"/>
  <c r="J83" i="1"/>
  <c r="K83" i="1"/>
  <c r="L83" i="1"/>
  <c r="M83" i="1"/>
  <c r="B59" i="1"/>
  <c r="F83" i="1"/>
  <c r="G83" i="1"/>
  <c r="H83" i="1"/>
  <c r="I83" i="1"/>
  <c r="B48" i="1"/>
  <c r="F72" i="1"/>
  <c r="G72" i="1"/>
  <c r="H72" i="1"/>
  <c r="I72" i="1"/>
  <c r="J72" i="1"/>
  <c r="K72" i="1"/>
  <c r="L72" i="1"/>
  <c r="M72" i="1"/>
  <c r="B43" i="1"/>
  <c r="I67" i="1"/>
  <c r="H67" i="1"/>
  <c r="F67" i="1"/>
  <c r="G67" i="1"/>
  <c r="J67" i="1"/>
  <c r="L67" i="1"/>
  <c r="K67" i="1"/>
  <c r="M67" i="1"/>
  <c r="M65" i="1"/>
  <c r="J65" i="1"/>
  <c r="L65" i="1"/>
  <c r="K65" i="1"/>
  <c r="B41" i="1"/>
  <c r="F65" i="1"/>
  <c r="H65" i="1"/>
  <c r="I65" i="1"/>
  <c r="G65" i="1"/>
  <c r="J68" i="1"/>
  <c r="K68" i="1"/>
  <c r="L68" i="1"/>
  <c r="M68" i="1"/>
  <c r="B44" i="1"/>
  <c r="H68" i="1"/>
  <c r="F68" i="1"/>
  <c r="G68" i="1"/>
  <c r="I68" i="1"/>
  <c r="J73" i="1"/>
  <c r="K73" i="1"/>
  <c r="L73" i="1"/>
  <c r="M73" i="1"/>
  <c r="B49" i="1"/>
  <c r="F73" i="1"/>
  <c r="G73" i="1"/>
  <c r="H73" i="1"/>
  <c r="I73" i="1"/>
  <c r="B54" i="1"/>
  <c r="F78" i="1"/>
  <c r="G78" i="1"/>
  <c r="H78" i="1"/>
  <c r="I78" i="1"/>
  <c r="J78" i="1"/>
  <c r="K78" i="1"/>
  <c r="L78" i="1"/>
  <c r="M78" i="1"/>
  <c r="J79" i="1"/>
  <c r="K79" i="1"/>
  <c r="L79" i="1"/>
  <c r="M79" i="1"/>
  <c r="B55" i="1"/>
  <c r="F79" i="1"/>
  <c r="G79" i="1"/>
  <c r="H79" i="1"/>
  <c r="I79" i="1"/>
  <c r="B56" i="1"/>
  <c r="F80" i="1"/>
  <c r="G80" i="1"/>
  <c r="H80" i="1"/>
  <c r="I80" i="1"/>
  <c r="J80" i="1"/>
  <c r="K80" i="1"/>
  <c r="L80" i="1"/>
  <c r="M80" i="1"/>
  <c r="J76" i="1"/>
  <c r="K76" i="1"/>
  <c r="L76" i="1"/>
  <c r="M76" i="1"/>
  <c r="B52" i="1"/>
  <c r="F76" i="1"/>
  <c r="G76" i="1"/>
  <c r="H76" i="1"/>
  <c r="I76" i="1"/>
  <c r="B42" i="1"/>
  <c r="H66" i="1"/>
  <c r="I66" i="1"/>
  <c r="G66" i="1"/>
  <c r="F66" i="1"/>
  <c r="J66" i="1"/>
  <c r="M66" i="1"/>
  <c r="K66" i="1"/>
  <c r="L66" i="1"/>
  <c r="J77" i="1"/>
  <c r="K77" i="1"/>
  <c r="L77" i="1"/>
  <c r="M77" i="1"/>
  <c r="B53" i="1"/>
  <c r="F77" i="1"/>
  <c r="G77" i="1"/>
  <c r="H77" i="1"/>
  <c r="I77" i="1"/>
  <c r="E45" i="1" l="1"/>
  <c r="D45" i="1"/>
  <c r="C45" i="1"/>
  <c r="F45" i="1" s="1"/>
  <c r="G45" i="1" s="1"/>
  <c r="D47" i="1"/>
  <c r="E47" i="1"/>
  <c r="C47" i="1"/>
  <c r="F47" i="1" s="1"/>
  <c r="G47" i="1" s="1"/>
  <c r="E46" i="1"/>
  <c r="D46" i="1"/>
  <c r="C46" i="1"/>
  <c r="F46" i="1" s="1"/>
  <c r="G46" i="1" s="1"/>
  <c r="D50" i="1"/>
  <c r="E50" i="1"/>
  <c r="C50" i="1"/>
  <c r="F50" i="1" s="1"/>
  <c r="G50" i="1" s="1"/>
  <c r="E58" i="1"/>
  <c r="D58" i="1"/>
  <c r="C58" i="1"/>
  <c r="F58" i="1" s="1"/>
  <c r="G58" i="1" s="1"/>
  <c r="E57" i="1"/>
  <c r="C57" i="1"/>
  <c r="F57" i="1" s="1"/>
  <c r="G57" i="1" s="1"/>
  <c r="D57" i="1"/>
  <c r="D51" i="1"/>
  <c r="E51" i="1"/>
  <c r="C51" i="1"/>
  <c r="F51" i="1" s="1"/>
  <c r="G51" i="1" s="1"/>
  <c r="D59" i="1"/>
  <c r="C59" i="1"/>
  <c r="F59" i="1" s="1"/>
  <c r="G59" i="1" s="1"/>
  <c r="E59" i="1"/>
  <c r="E48" i="1"/>
  <c r="C48" i="1"/>
  <c r="D48" i="1"/>
  <c r="E43" i="1"/>
  <c r="D43" i="1"/>
  <c r="C43" i="1"/>
  <c r="F43" i="1" s="1"/>
  <c r="G43" i="1" s="1"/>
  <c r="E41" i="1"/>
  <c r="C41" i="1"/>
  <c r="D41" i="1"/>
  <c r="D44" i="1"/>
  <c r="C44" i="1"/>
  <c r="F44" i="1" s="1"/>
  <c r="G44" i="1" s="1"/>
  <c r="E44" i="1"/>
  <c r="E49" i="1"/>
  <c r="D49" i="1"/>
  <c r="C49" i="1"/>
  <c r="F49" i="1" s="1"/>
  <c r="G49" i="1" s="1"/>
  <c r="E54" i="1"/>
  <c r="D54" i="1"/>
  <c r="C54" i="1"/>
  <c r="F54" i="1" s="1"/>
  <c r="G54" i="1" s="1"/>
  <c r="C55" i="1"/>
  <c r="F55" i="1" s="1"/>
  <c r="G55" i="1" s="1"/>
  <c r="D55" i="1"/>
  <c r="E55" i="1"/>
  <c r="C56" i="1"/>
  <c r="E56" i="1"/>
  <c r="D56" i="1"/>
  <c r="D52" i="1"/>
  <c r="C52" i="1"/>
  <c r="E52" i="1"/>
  <c r="C42" i="1"/>
  <c r="E42" i="1"/>
  <c r="D42" i="1"/>
  <c r="E53" i="1"/>
  <c r="D53" i="1"/>
  <c r="C53" i="1"/>
  <c r="F53" i="1" s="1"/>
  <c r="G53" i="1" s="1"/>
  <c r="F56" i="1" l="1"/>
  <c r="G56" i="1" s="1"/>
  <c r="F42" i="1"/>
  <c r="G42" i="1" s="1"/>
  <c r="F52" i="1"/>
  <c r="G52" i="1" s="1"/>
  <c r="F48" i="1"/>
  <c r="G48" i="1" s="1"/>
  <c r="F41" i="1"/>
  <c r="G41" i="1" s="1"/>
</calcChain>
</file>

<file path=xl/sharedStrings.xml><?xml version="1.0" encoding="utf-8"?>
<sst xmlns="http://schemas.openxmlformats.org/spreadsheetml/2006/main" count="46" uniqueCount="43">
  <si>
    <t>ĐỀ XUẤT KPI TRUY CẬP QUÝ 4/2026 TỪ MỨC TRUY CẬP THÁNG 9/2026</t>
  </si>
  <si>
    <t>Mức T9 quy đổi đủ 30 ngày = TB/ngày thực tế × 30. KPI = mức cơ sở × (1 + mức tăng). Ảnh hưởng Zalo được trừ theo tỷ lệ đồng đều cho mọi ban (chưa có số Zalo riêng từng ban). Chữ xanh = ô nhập.</t>
  </si>
  <si>
    <t>THAM SỐ</t>
  </si>
  <si>
    <t>Tháng cơ sở</t>
  </si>
  <si>
    <t>Số ngày có dữ liệu trong tháng cơ sở</t>
  </si>
  <si>
    <t>Ngày cuối có dữ liệu</t>
  </si>
  <si>
    <t>Số ngày quy đổi đủ tháng</t>
  </si>
  <si>
    <t>Tỷ trọng Zalo thực tế (Zalo / tổng 9 nguồn, cùng kỳ)</t>
  </si>
  <si>
    <t xml:space="preserve">  Tham khảo: Zalo / tổng truy cập trang</t>
  </si>
  <si>
    <t>Ảnh hưởng Zalo giả định</t>
  </si>
  <si>
    <t>Mức tăng chọn (so với T9)</t>
  </si>
  <si>
    <t>Cơ sở tính KPI chi tiết (bảng 2)</t>
  </si>
  <si>
    <t>Trừ Zalo thực tế</t>
  </si>
  <si>
    <t>1. MỨC TRUY CẬP THÁNG 9/2026 (lượt)</t>
  </si>
  <si>
    <t>Ban / Chuyên mục</t>
  </si>
  <si>
    <t>Lượt trừ do Zalo thực tế</t>
  </si>
  <si>
    <t>Lượt trừ do Zalo giả định</t>
  </si>
  <si>
    <t>Khối Uy tín</t>
  </si>
  <si>
    <t>Xã hội</t>
  </si>
  <si>
    <t>Pháp luật</t>
  </si>
  <si>
    <t>Thế giới</t>
  </si>
  <si>
    <t>Xuất bản</t>
  </si>
  <si>
    <t>Khối Kinh doanh</t>
  </si>
  <si>
    <t>Kinh doanh</t>
  </si>
  <si>
    <t>Công nghệ</t>
  </si>
  <si>
    <t>Xe</t>
  </si>
  <si>
    <t>Khối Lifestyle</t>
  </si>
  <si>
    <t>Đời sống</t>
  </si>
  <si>
    <t>Lifestyle</t>
  </si>
  <si>
    <t>Sức khỏe</t>
  </si>
  <si>
    <t>Giáo dục</t>
  </si>
  <si>
    <t>Du lịch</t>
  </si>
  <si>
    <t>Khối Truy cập</t>
  </si>
  <si>
    <t>Thể thao</t>
  </si>
  <si>
    <t>Giải trí</t>
  </si>
  <si>
    <t>Toàn Znews</t>
  </si>
  <si>
    <t>Số ngày trong tháng</t>
  </si>
  <si>
    <t>Cơ sở TB/ngày (T9)</t>
  </si>
  <si>
    <t>Tổng Q4</t>
  </si>
  <si>
    <t>KPI TB/tháng Q4</t>
  </si>
  <si>
    <t>3. SO SÁNH CÁC MỐC TĂNG – KPI tháng (quy đổi 30 ngày) theo 3 cơ sở</t>
  </si>
  <si>
    <t>Gốc (T9 quy đổi)</t>
  </si>
  <si>
    <t>Trừ Zalo giả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</si>
</sst>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yyyy"/>
    <numFmt numFmtId="165" formatCode="dd/mm/yyyy"/>
    <numFmt numFmtId="166" formatCode="0.0%"/>
    <numFmt numFmtId="167" formatCode="&quot;Tháng &quot;m"/>
    <numFmt numFmtId="168" formatCode="&quot;+&quot;0%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6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5" fillId="3" borderId="0" xfId="0" applyFont="1" applyFill="1" applyAlignment="1">
      <alignment vertical="center" wrapText="1"/>
    </xf>
    <xf numFmtId="0" fontId="3" fillId="4" borderId="0" xfId="0" applyFont="1" applyFill="1"/>
    <xf numFmtId="3" fontId="6" fillId="4" borderId="0" xfId="0" applyNumberFormat="1" applyFont="1" applyFill="1"/>
    <xf numFmtId="3" fontId="3" fillId="4" borderId="0" xfId="0" applyNumberFormat="1" applyFont="1" applyFill="1"/>
    <xf numFmtId="0" fontId="0" fillId="0" borderId="0" xfId="0" applyAlignment="1">
      <alignment indent="1"/>
    </xf>
    <xf numFmtId="3" fontId="7" fillId="0" borderId="0" xfId="0" applyNumberFormat="1" applyFont="1"/>
    <xf numFmtId="3" fontId="0" fillId="0" borderId="0" xfId="0" applyNumberFormat="1"/>
    <xf numFmtId="0" fontId="3" fillId="5" borderId="0" xfId="0" applyFont="1" applyFill="1"/>
    <xf numFmtId="3" fontId="6" fillId="5" borderId="0" xfId="0" applyNumberFormat="1" applyFont="1" applyFill="1"/>
    <xf numFmtId="3" fontId="3" fillId="5" borderId="0" xfId="0" applyNumberFormat="1" applyFont="1" applyFill="1"/>
    <xf numFmtId="0" fontId="5" fillId="3" borderId="0" xfId="0" applyFont="1" applyFill="1" applyAlignment="1">
      <alignment horizontal="center" vertical="center" wrapText="1"/>
    </xf>
    <xf numFmtId="167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8" fontId="8" fillId="3" borderId="0" xfId="0" applyNumberFormat="1" applyFont="1" applyFill="1" applyAlignment="1">
      <alignment horizontal="center" vertical="center" wrapText="1"/>
    </xf>
    <xf numFmtId="168" fontId="5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znews-my.sharepoint.com/personal/letuananh_znews_vn/Documents/Reports/Tong%20hop%20truy%20c&#7841;p%202025-2026.xlsx" TargetMode="External"/><Relationship Id="rId1" Type="http://schemas.openxmlformats.org/officeDocument/2006/relationships/externalLinkPath" Target="https://znews-my.sharepoint.com/personal/letuananh_znews_vn/Documents/Reports/Tong%20hop%20truy%20c&#7841;p%20202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áo cáo KPI Q4"/>
      <sheetName val="Tiến độ KPI 2026"/>
      <sheetName val="KPI tháng Q4"/>
      <sheetName val="Truy cập"/>
      <sheetName val="Truy cập (new)"/>
      <sheetName val="Dữ liệu nhóm"/>
      <sheetName val="Tổng hợp tháng"/>
      <sheetName val="Cơ sở tính"/>
      <sheetName val="Brief web (md)"/>
      <sheetName val="Tiến độ KPI (md)"/>
      <sheetName val="Lifestyle điều chỉnh"/>
      <sheetName val="Tổng truy cập theo ngày"/>
      <sheetName val="Nguồn truy cập theo ngày"/>
      <sheetName val="Tỷ lệ mục vs tổng"/>
      <sheetName val="Dự báo Q4 2026"/>
      <sheetName val="Đóng góp nguồn"/>
      <sheetName val="KPI Q4 từ T9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Xã hội</v>
          </cell>
          <cell r="C3" t="str">
            <v>Pháp luật</v>
          </cell>
          <cell r="D3" t="str">
            <v>Thế giới</v>
          </cell>
          <cell r="E3" t="str">
            <v>Xuất bản</v>
          </cell>
          <cell r="F3" t="str">
            <v>Kinh doanh</v>
          </cell>
          <cell r="G3" t="str">
            <v>Công nghệ</v>
          </cell>
          <cell r="H3" t="str">
            <v>Xe</v>
          </cell>
          <cell r="I3" t="str">
            <v>Đời sống</v>
          </cell>
          <cell r="J3" t="str">
            <v>Lifestyle</v>
          </cell>
          <cell r="K3" t="str">
            <v>Sức khỏe</v>
          </cell>
          <cell r="L3" t="str">
            <v>Giáo dục</v>
          </cell>
          <cell r="M3" t="str">
            <v>Du lịch</v>
          </cell>
          <cell r="N3" t="str">
            <v>Thể thao</v>
          </cell>
          <cell r="O3" t="str">
            <v>Giải trí</v>
          </cell>
          <cell r="P3" t="str">
            <v>Khối Uy tín</v>
          </cell>
          <cell r="Q3" t="str">
            <v>Khối Kinh doanh</v>
          </cell>
          <cell r="R3" t="str">
            <v>Khối Lifestyle</v>
          </cell>
          <cell r="S3" t="str">
            <v>Khối Truy cập</v>
          </cell>
          <cell r="T3" t="str">
            <v>Toàn Znews</v>
          </cell>
        </row>
        <row r="4">
          <cell r="A4">
            <v>45658</v>
          </cell>
          <cell r="B4">
            <v>6716945</v>
          </cell>
          <cell r="C4">
            <v>5100159</v>
          </cell>
          <cell r="D4">
            <v>2902500</v>
          </cell>
          <cell r="E4">
            <v>990398</v>
          </cell>
          <cell r="F4">
            <v>4049462</v>
          </cell>
          <cell r="G4">
            <v>2316236</v>
          </cell>
          <cell r="H4">
            <v>1477995</v>
          </cell>
          <cell r="I4">
            <v>4399418</v>
          </cell>
          <cell r="J4">
            <v>1220643</v>
          </cell>
          <cell r="K4">
            <v>2279524</v>
          </cell>
          <cell r="L4">
            <v>953405</v>
          </cell>
          <cell r="M4">
            <v>1940655</v>
          </cell>
          <cell r="N4">
            <v>15046322</v>
          </cell>
          <cell r="O4">
            <v>6362386</v>
          </cell>
          <cell r="P4">
            <v>15710002</v>
          </cell>
          <cell r="Q4">
            <v>7843693</v>
          </cell>
          <cell r="R4">
            <v>10793645</v>
          </cell>
          <cell r="S4">
            <v>21408708</v>
          </cell>
          <cell r="T4">
            <v>55756048</v>
          </cell>
          <cell r="U4">
            <v>31</v>
          </cell>
        </row>
        <row r="5">
          <cell r="A5">
            <v>45689</v>
          </cell>
          <cell r="B5">
            <v>6478215</v>
          </cell>
          <cell r="C5">
            <v>5513514</v>
          </cell>
          <cell r="D5">
            <v>3272525</v>
          </cell>
          <cell r="E5">
            <v>1066227</v>
          </cell>
          <cell r="F5">
            <v>5943516</v>
          </cell>
          <cell r="G5">
            <v>3185822</v>
          </cell>
          <cell r="H5">
            <v>1569635</v>
          </cell>
          <cell r="I5">
            <v>4993627</v>
          </cell>
          <cell r="J5">
            <v>1287029</v>
          </cell>
          <cell r="K5">
            <v>2453151</v>
          </cell>
          <cell r="L5">
            <v>1447411</v>
          </cell>
          <cell r="M5">
            <v>1634009</v>
          </cell>
          <cell r="N5">
            <v>16150817</v>
          </cell>
          <cell r="O5">
            <v>7772756</v>
          </cell>
          <cell r="P5">
            <v>16330481</v>
          </cell>
          <cell r="Q5">
            <v>10698973</v>
          </cell>
          <cell r="R5">
            <v>11815227</v>
          </cell>
          <cell r="S5">
            <v>23923573</v>
          </cell>
          <cell r="T5">
            <v>62768254</v>
          </cell>
          <cell r="U5">
            <v>28</v>
          </cell>
        </row>
        <row r="6">
          <cell r="A6">
            <v>45717</v>
          </cell>
          <cell r="B6">
            <v>6315227</v>
          </cell>
          <cell r="C6">
            <v>3859375</v>
          </cell>
          <cell r="D6">
            <v>3623573</v>
          </cell>
          <cell r="E6">
            <v>1476985</v>
          </cell>
          <cell r="F6">
            <v>5715435</v>
          </cell>
          <cell r="G6">
            <v>2849940</v>
          </cell>
          <cell r="H6">
            <v>1428824</v>
          </cell>
          <cell r="I6">
            <v>5733938</v>
          </cell>
          <cell r="J6">
            <v>1452801</v>
          </cell>
          <cell r="K6">
            <v>2992190</v>
          </cell>
          <cell r="L6">
            <v>1549712</v>
          </cell>
          <cell r="M6">
            <v>1801195</v>
          </cell>
          <cell r="N6">
            <v>18562705</v>
          </cell>
          <cell r="O6">
            <v>8734248</v>
          </cell>
          <cell r="P6">
            <v>15275160</v>
          </cell>
          <cell r="Q6">
            <v>9994199</v>
          </cell>
          <cell r="R6">
            <v>13529836</v>
          </cell>
          <cell r="S6">
            <v>27296953</v>
          </cell>
          <cell r="T6">
            <v>66096148</v>
          </cell>
          <cell r="U6">
            <v>31</v>
          </cell>
        </row>
        <row r="7">
          <cell r="A7">
            <v>45748</v>
          </cell>
          <cell r="B7">
            <v>8574256</v>
          </cell>
          <cell r="C7">
            <v>6221997</v>
          </cell>
          <cell r="D7">
            <v>4019416</v>
          </cell>
          <cell r="E7">
            <v>1281667</v>
          </cell>
          <cell r="F7">
            <v>8090375</v>
          </cell>
          <cell r="G7">
            <v>3369968</v>
          </cell>
          <cell r="H7">
            <v>1586214</v>
          </cell>
          <cell r="I7">
            <v>6327554</v>
          </cell>
          <cell r="J7">
            <v>1626654</v>
          </cell>
          <cell r="K7">
            <v>4144883</v>
          </cell>
          <cell r="L7">
            <v>1493838</v>
          </cell>
          <cell r="M7">
            <v>2796399</v>
          </cell>
          <cell r="N7">
            <v>17129560</v>
          </cell>
          <cell r="O7">
            <v>8031077</v>
          </cell>
          <cell r="P7">
            <v>20097336</v>
          </cell>
          <cell r="Q7">
            <v>13046557</v>
          </cell>
          <cell r="R7">
            <v>16389328</v>
          </cell>
          <cell r="S7">
            <v>25160637</v>
          </cell>
          <cell r="T7">
            <v>74693858</v>
          </cell>
          <cell r="U7">
            <v>30</v>
          </cell>
        </row>
        <row r="8">
          <cell r="A8">
            <v>45778</v>
          </cell>
          <cell r="B8">
            <v>7227837</v>
          </cell>
          <cell r="C8">
            <v>4394386</v>
          </cell>
          <cell r="D8">
            <v>2805946</v>
          </cell>
          <cell r="E8">
            <v>1396364</v>
          </cell>
          <cell r="F8">
            <v>6367047</v>
          </cell>
          <cell r="G8">
            <v>2620819</v>
          </cell>
          <cell r="H8">
            <v>1430902</v>
          </cell>
          <cell r="I8">
            <v>7599731</v>
          </cell>
          <cell r="J8">
            <v>1394453</v>
          </cell>
          <cell r="K8">
            <v>6349331</v>
          </cell>
          <cell r="L8">
            <v>1509559</v>
          </cell>
          <cell r="M8">
            <v>2494408</v>
          </cell>
          <cell r="N8">
            <v>18943396</v>
          </cell>
          <cell r="O8">
            <v>7735729</v>
          </cell>
          <cell r="P8">
            <v>15824533</v>
          </cell>
          <cell r="Q8">
            <v>10418768</v>
          </cell>
          <cell r="R8">
            <v>19347482</v>
          </cell>
          <cell r="S8">
            <v>26679125</v>
          </cell>
          <cell r="T8">
            <v>72269908</v>
          </cell>
          <cell r="U8">
            <v>31</v>
          </cell>
        </row>
        <row r="9">
          <cell r="A9">
            <v>45809</v>
          </cell>
          <cell r="B9">
            <v>5678219</v>
          </cell>
          <cell r="C9">
            <v>4596602</v>
          </cell>
          <cell r="D9">
            <v>4791481</v>
          </cell>
          <cell r="E9">
            <v>1010045</v>
          </cell>
          <cell r="F9">
            <v>7025200</v>
          </cell>
          <cell r="G9">
            <v>2805756</v>
          </cell>
          <cell r="H9">
            <v>1183641</v>
          </cell>
          <cell r="I9">
            <v>5396141</v>
          </cell>
          <cell r="J9">
            <v>1422654</v>
          </cell>
          <cell r="K9">
            <v>3929901</v>
          </cell>
          <cell r="L9">
            <v>1453166</v>
          </cell>
          <cell r="M9">
            <v>1988814</v>
          </cell>
          <cell r="N9">
            <v>18054481</v>
          </cell>
          <cell r="O9">
            <v>8519866</v>
          </cell>
          <cell r="P9">
            <v>16076347</v>
          </cell>
          <cell r="Q9">
            <v>11014597</v>
          </cell>
          <cell r="R9">
            <v>14190676</v>
          </cell>
          <cell r="S9">
            <v>26574347</v>
          </cell>
          <cell r="T9">
            <v>67855967</v>
          </cell>
          <cell r="U9">
            <v>30</v>
          </cell>
        </row>
        <row r="10">
          <cell r="A10">
            <v>45839</v>
          </cell>
          <cell r="B10">
            <v>6878487</v>
          </cell>
          <cell r="C10">
            <v>4624607</v>
          </cell>
          <cell r="D10">
            <v>3315730</v>
          </cell>
          <cell r="E10">
            <v>1331981</v>
          </cell>
          <cell r="F10">
            <v>7251617</v>
          </cell>
          <cell r="G10">
            <v>3197258</v>
          </cell>
          <cell r="H10">
            <v>1506813</v>
          </cell>
          <cell r="I10">
            <v>5214068</v>
          </cell>
          <cell r="J10">
            <v>1669858</v>
          </cell>
          <cell r="K10">
            <v>4903574</v>
          </cell>
          <cell r="L10">
            <v>2055966</v>
          </cell>
          <cell r="M10">
            <v>2100163</v>
          </cell>
          <cell r="N10">
            <v>17614963</v>
          </cell>
          <cell r="O10">
            <v>9608363</v>
          </cell>
          <cell r="P10">
            <v>16150805</v>
          </cell>
          <cell r="Q10">
            <v>11955688</v>
          </cell>
          <cell r="R10">
            <v>15943629</v>
          </cell>
          <cell r="S10">
            <v>27223326</v>
          </cell>
          <cell r="T10">
            <v>71273448</v>
          </cell>
          <cell r="U10">
            <v>31</v>
          </cell>
        </row>
        <row r="11">
          <cell r="A11">
            <v>45870</v>
          </cell>
          <cell r="B11">
            <v>6463261</v>
          </cell>
          <cell r="C11">
            <v>4920321</v>
          </cell>
          <cell r="D11">
            <v>3191306</v>
          </cell>
          <cell r="E11">
            <v>1156722</v>
          </cell>
          <cell r="F11">
            <v>7726211</v>
          </cell>
          <cell r="G11">
            <v>3617433</v>
          </cell>
          <cell r="H11">
            <v>1598346</v>
          </cell>
          <cell r="I11">
            <v>4756260</v>
          </cell>
          <cell r="J11">
            <v>1777073</v>
          </cell>
          <cell r="K11">
            <v>5952289</v>
          </cell>
          <cell r="L11">
            <v>1713933</v>
          </cell>
          <cell r="M11">
            <v>1898555</v>
          </cell>
          <cell r="N11">
            <v>18243199</v>
          </cell>
          <cell r="O11">
            <v>8535061</v>
          </cell>
          <cell r="P11">
            <v>15731610</v>
          </cell>
          <cell r="Q11">
            <v>12941990</v>
          </cell>
          <cell r="R11">
            <v>16098110</v>
          </cell>
          <cell r="S11">
            <v>26778260</v>
          </cell>
          <cell r="T11">
            <v>71549970</v>
          </cell>
          <cell r="U11">
            <v>31</v>
          </cell>
        </row>
        <row r="12">
          <cell r="A12">
            <v>45901</v>
          </cell>
          <cell r="B12">
            <v>5451092</v>
          </cell>
          <cell r="C12">
            <v>4288572</v>
          </cell>
          <cell r="D12">
            <v>3667055</v>
          </cell>
          <cell r="E12">
            <v>1315651</v>
          </cell>
          <cell r="F12">
            <v>6616430</v>
          </cell>
          <cell r="G12">
            <v>3182453</v>
          </cell>
          <cell r="H12">
            <v>1360802</v>
          </cell>
          <cell r="I12">
            <v>5024184</v>
          </cell>
          <cell r="J12">
            <v>1161252</v>
          </cell>
          <cell r="K12">
            <v>4748537</v>
          </cell>
          <cell r="L12">
            <v>1484510</v>
          </cell>
          <cell r="M12">
            <v>2153907</v>
          </cell>
          <cell r="N12">
            <v>17577324</v>
          </cell>
          <cell r="O12">
            <v>7896677</v>
          </cell>
          <cell r="P12">
            <v>14722370</v>
          </cell>
          <cell r="Q12">
            <v>11159685</v>
          </cell>
          <cell r="R12">
            <v>14572390</v>
          </cell>
          <cell r="S12">
            <v>25474001</v>
          </cell>
          <cell r="T12">
            <v>65928446</v>
          </cell>
          <cell r="U12">
            <v>30</v>
          </cell>
        </row>
        <row r="13">
          <cell r="A13">
            <v>45931</v>
          </cell>
          <cell r="B13">
            <v>5047385</v>
          </cell>
          <cell r="C13">
            <v>4516420</v>
          </cell>
          <cell r="D13">
            <v>3541651</v>
          </cell>
          <cell r="E13">
            <v>1265927</v>
          </cell>
          <cell r="F13">
            <v>6079730</v>
          </cell>
          <cell r="G13">
            <v>2604867</v>
          </cell>
          <cell r="H13">
            <v>1494471</v>
          </cell>
          <cell r="I13">
            <v>6035387</v>
          </cell>
          <cell r="J13">
            <v>1426508</v>
          </cell>
          <cell r="K13">
            <v>6178713</v>
          </cell>
          <cell r="L13">
            <v>1300520</v>
          </cell>
          <cell r="M13">
            <v>2215276</v>
          </cell>
          <cell r="N13">
            <v>18911447</v>
          </cell>
          <cell r="O13">
            <v>8134676</v>
          </cell>
          <cell r="P13">
            <v>14371383</v>
          </cell>
          <cell r="Q13">
            <v>10179068</v>
          </cell>
          <cell r="R13">
            <v>17156404</v>
          </cell>
          <cell r="S13">
            <v>27046123</v>
          </cell>
          <cell r="T13">
            <v>68752978</v>
          </cell>
          <cell r="U13">
            <v>31</v>
          </cell>
        </row>
        <row r="14">
          <cell r="A14">
            <v>45962</v>
          </cell>
          <cell r="B14">
            <v>5446364</v>
          </cell>
          <cell r="C14">
            <v>3511213</v>
          </cell>
          <cell r="D14">
            <v>2595442</v>
          </cell>
          <cell r="E14">
            <v>730735</v>
          </cell>
          <cell r="F14">
            <v>4544960</v>
          </cell>
          <cell r="G14">
            <v>2221349</v>
          </cell>
          <cell r="H14">
            <v>1386325</v>
          </cell>
          <cell r="I14">
            <v>5452400</v>
          </cell>
          <cell r="J14">
            <v>1099465</v>
          </cell>
          <cell r="K14">
            <v>5847808</v>
          </cell>
          <cell r="L14">
            <v>1839220</v>
          </cell>
          <cell r="M14">
            <v>2221526</v>
          </cell>
          <cell r="N14">
            <v>17100600</v>
          </cell>
          <cell r="O14">
            <v>7335146</v>
          </cell>
          <cell r="P14">
            <v>12283754</v>
          </cell>
          <cell r="Q14">
            <v>8152634</v>
          </cell>
          <cell r="R14">
            <v>16460419</v>
          </cell>
          <cell r="S14">
            <v>24435746</v>
          </cell>
          <cell r="T14">
            <v>61332553</v>
          </cell>
          <cell r="U14">
            <v>30</v>
          </cell>
        </row>
        <row r="15">
          <cell r="A15">
            <v>45992</v>
          </cell>
          <cell r="B15">
            <v>3496509</v>
          </cell>
          <cell r="C15">
            <v>3042005</v>
          </cell>
          <cell r="D15">
            <v>2691520</v>
          </cell>
          <cell r="E15">
            <v>846857</v>
          </cell>
          <cell r="F15">
            <v>5183577</v>
          </cell>
          <cell r="G15">
            <v>2849620</v>
          </cell>
          <cell r="H15">
            <v>1113518</v>
          </cell>
          <cell r="I15">
            <v>5369207</v>
          </cell>
          <cell r="J15">
            <v>1278569</v>
          </cell>
          <cell r="K15">
            <v>4434605</v>
          </cell>
          <cell r="L15">
            <v>1587285</v>
          </cell>
          <cell r="M15">
            <v>1545308</v>
          </cell>
          <cell r="N15">
            <v>19871911</v>
          </cell>
          <cell r="O15">
            <v>8093634</v>
          </cell>
          <cell r="P15">
            <v>10076891</v>
          </cell>
          <cell r="Q15">
            <v>9146715</v>
          </cell>
          <cell r="R15">
            <v>14214974</v>
          </cell>
          <cell r="S15">
            <v>27965545</v>
          </cell>
          <cell r="T15">
            <v>61404125</v>
          </cell>
          <cell r="U15">
            <v>31</v>
          </cell>
        </row>
        <row r="16">
          <cell r="A16">
            <v>46023</v>
          </cell>
          <cell r="B16">
            <v>4297890</v>
          </cell>
          <cell r="C16">
            <v>2725051</v>
          </cell>
          <cell r="D16">
            <v>4822357</v>
          </cell>
          <cell r="E16">
            <v>985459</v>
          </cell>
          <cell r="F16">
            <v>4274444</v>
          </cell>
          <cell r="G16">
            <v>2212176</v>
          </cell>
          <cell r="H16">
            <v>1024219</v>
          </cell>
          <cell r="I16">
            <v>5989135</v>
          </cell>
          <cell r="J16">
            <v>1259555</v>
          </cell>
          <cell r="K16">
            <v>3732506</v>
          </cell>
          <cell r="L16">
            <v>1981229</v>
          </cell>
          <cell r="M16">
            <v>1985831</v>
          </cell>
          <cell r="N16">
            <v>22019584</v>
          </cell>
          <cell r="O16">
            <v>6940515</v>
          </cell>
          <cell r="P16">
            <v>12830757</v>
          </cell>
          <cell r="Q16">
            <v>7510839</v>
          </cell>
          <cell r="R16">
            <v>14948256</v>
          </cell>
          <cell r="S16">
            <v>28960099</v>
          </cell>
          <cell r="T16">
            <v>64249951</v>
          </cell>
          <cell r="U16">
            <v>31</v>
          </cell>
        </row>
        <row r="17">
          <cell r="A17">
            <v>46054</v>
          </cell>
          <cell r="B17">
            <v>2898897</v>
          </cell>
          <cell r="C17">
            <v>2454963</v>
          </cell>
          <cell r="D17">
            <v>2877183</v>
          </cell>
          <cell r="E17">
            <v>774028</v>
          </cell>
          <cell r="F17">
            <v>3896899</v>
          </cell>
          <cell r="G17">
            <v>1801501</v>
          </cell>
          <cell r="H17">
            <v>915828</v>
          </cell>
          <cell r="I17">
            <v>4638640</v>
          </cell>
          <cell r="J17">
            <v>906006</v>
          </cell>
          <cell r="K17">
            <v>2458647</v>
          </cell>
          <cell r="L17">
            <v>1137430</v>
          </cell>
          <cell r="M17">
            <v>1612672</v>
          </cell>
          <cell r="N17">
            <v>12497372</v>
          </cell>
          <cell r="O17">
            <v>5257877</v>
          </cell>
          <cell r="P17">
            <v>9005071</v>
          </cell>
          <cell r="Q17">
            <v>6614228</v>
          </cell>
          <cell r="R17">
            <v>10753395</v>
          </cell>
          <cell r="S17">
            <v>17755249</v>
          </cell>
          <cell r="T17">
            <v>44127943</v>
          </cell>
          <cell r="U17">
            <v>28</v>
          </cell>
        </row>
        <row r="18">
          <cell r="A18">
            <v>46082</v>
          </cell>
          <cell r="B18">
            <v>3889196</v>
          </cell>
          <cell r="C18">
            <v>3543347</v>
          </cell>
          <cell r="D18">
            <v>14851710</v>
          </cell>
          <cell r="E18">
            <v>1327915</v>
          </cell>
          <cell r="F18">
            <v>6769297</v>
          </cell>
          <cell r="G18">
            <v>3060072</v>
          </cell>
          <cell r="H18">
            <v>1730470</v>
          </cell>
          <cell r="I18">
            <v>6272279</v>
          </cell>
          <cell r="J18">
            <v>986171</v>
          </cell>
          <cell r="K18">
            <v>3666552</v>
          </cell>
          <cell r="L18">
            <v>1569790</v>
          </cell>
          <cell r="M18">
            <v>2161600</v>
          </cell>
          <cell r="N18">
            <v>16248425</v>
          </cell>
          <cell r="O18">
            <v>8092263</v>
          </cell>
          <cell r="P18">
            <v>23612168</v>
          </cell>
          <cell r="Q18">
            <v>11559839</v>
          </cell>
          <cell r="R18">
            <v>14656392</v>
          </cell>
          <cell r="S18">
            <v>24340688</v>
          </cell>
          <cell r="T18">
            <v>74169087</v>
          </cell>
          <cell r="U18">
            <v>31</v>
          </cell>
        </row>
        <row r="19">
          <cell r="A19">
            <v>46113</v>
          </cell>
          <cell r="B19">
            <v>4774996</v>
          </cell>
          <cell r="C19">
            <v>2641018</v>
          </cell>
          <cell r="D19">
            <v>8429485</v>
          </cell>
          <cell r="E19">
            <v>1158376</v>
          </cell>
          <cell r="F19">
            <v>5621205</v>
          </cell>
          <cell r="G19">
            <v>2673205</v>
          </cell>
          <cell r="H19">
            <v>1609550</v>
          </cell>
          <cell r="I19">
            <v>5508075</v>
          </cell>
          <cell r="J19">
            <v>1117043</v>
          </cell>
          <cell r="K19">
            <v>3271296</v>
          </cell>
          <cell r="L19">
            <v>1215889</v>
          </cell>
          <cell r="M19">
            <v>2071178</v>
          </cell>
          <cell r="N19">
            <v>17384456</v>
          </cell>
          <cell r="O19">
            <v>6598018</v>
          </cell>
          <cell r="P19">
            <v>17003875</v>
          </cell>
          <cell r="Q19">
            <v>9903960</v>
          </cell>
          <cell r="R19">
            <v>13183481</v>
          </cell>
          <cell r="S19">
            <v>23982474</v>
          </cell>
          <cell r="T19">
            <v>64073790</v>
          </cell>
          <cell r="U19">
            <v>30</v>
          </cell>
        </row>
        <row r="20">
          <cell r="A20">
            <v>46143</v>
          </cell>
          <cell r="B20">
            <v>2863212</v>
          </cell>
          <cell r="C20">
            <v>4334374</v>
          </cell>
          <cell r="D20">
            <v>3704227</v>
          </cell>
          <cell r="E20">
            <v>959718</v>
          </cell>
          <cell r="F20">
            <v>4430102</v>
          </cell>
          <cell r="G20">
            <v>3268419</v>
          </cell>
          <cell r="H20">
            <v>1701958</v>
          </cell>
          <cell r="I20">
            <v>6614302</v>
          </cell>
          <cell r="J20">
            <v>930923</v>
          </cell>
          <cell r="K20">
            <v>3670182</v>
          </cell>
          <cell r="L20">
            <v>1154670</v>
          </cell>
          <cell r="M20">
            <v>2734066</v>
          </cell>
          <cell r="N20">
            <v>20207951</v>
          </cell>
          <cell r="O20">
            <v>7647478</v>
          </cell>
          <cell r="P20">
            <v>11861531</v>
          </cell>
          <cell r="Q20">
            <v>9400479</v>
          </cell>
          <cell r="R20">
            <v>15104143</v>
          </cell>
          <cell r="S20">
            <v>27855429</v>
          </cell>
          <cell r="T20">
            <v>64221582</v>
          </cell>
          <cell r="U20">
            <v>31</v>
          </cell>
        </row>
        <row r="21">
          <cell r="A21">
            <v>46174</v>
          </cell>
          <cell r="B21">
            <v>2478084</v>
          </cell>
          <cell r="C21">
            <v>2774992</v>
          </cell>
          <cell r="D21">
            <v>3086540</v>
          </cell>
          <cell r="E21">
            <v>1208815</v>
          </cell>
          <cell r="F21">
            <v>5211497</v>
          </cell>
          <cell r="G21">
            <v>2714257</v>
          </cell>
          <cell r="H21">
            <v>1331063</v>
          </cell>
          <cell r="I21">
            <v>6997668</v>
          </cell>
          <cell r="J21">
            <v>2030961</v>
          </cell>
          <cell r="K21">
            <v>3231998</v>
          </cell>
          <cell r="L21">
            <v>1220635</v>
          </cell>
          <cell r="M21">
            <v>2149476</v>
          </cell>
          <cell r="N21">
            <v>20487507</v>
          </cell>
          <cell r="O21">
            <v>7106292</v>
          </cell>
          <cell r="P21">
            <v>9548431</v>
          </cell>
          <cell r="Q21">
            <v>9256817</v>
          </cell>
          <cell r="R21">
            <v>15630738</v>
          </cell>
          <cell r="S21">
            <v>27593799</v>
          </cell>
          <cell r="T21">
            <v>62029785</v>
          </cell>
          <cell r="U21">
            <v>30</v>
          </cell>
        </row>
        <row r="22">
          <cell r="A22">
            <v>46204</v>
          </cell>
          <cell r="B22">
            <v>2518175</v>
          </cell>
          <cell r="C22">
            <v>3110545</v>
          </cell>
          <cell r="D22">
            <v>2657582</v>
          </cell>
          <cell r="E22">
            <v>1157876</v>
          </cell>
          <cell r="F22">
            <v>5102961</v>
          </cell>
          <cell r="G22">
            <v>2069419</v>
          </cell>
          <cell r="H22">
            <v>1378639</v>
          </cell>
          <cell r="I22">
            <v>7026947</v>
          </cell>
          <cell r="J22">
            <v>2080864</v>
          </cell>
          <cell r="K22">
            <v>3869518</v>
          </cell>
          <cell r="L22">
            <v>1554888</v>
          </cell>
          <cell r="M22">
            <v>2393884</v>
          </cell>
          <cell r="N22">
            <v>25023283</v>
          </cell>
          <cell r="O22">
            <v>7084412</v>
          </cell>
          <cell r="P22">
            <v>9444178</v>
          </cell>
          <cell r="Q22">
            <v>8551019</v>
          </cell>
          <cell r="R22">
            <v>16926101</v>
          </cell>
          <cell r="S22">
            <v>32107695</v>
          </cell>
          <cell r="T22">
            <v>67028993</v>
          </cell>
          <cell r="U22">
            <v>31</v>
          </cell>
        </row>
        <row r="23">
          <cell r="A23">
            <v>46235</v>
          </cell>
          <cell r="B23">
            <v>1896149</v>
          </cell>
          <cell r="C23">
            <v>1960308</v>
          </cell>
          <cell r="D23">
            <v>1079011</v>
          </cell>
          <cell r="E23">
            <v>1232652</v>
          </cell>
          <cell r="F23">
            <v>3850034</v>
          </cell>
          <cell r="G23">
            <v>1483499</v>
          </cell>
          <cell r="H23">
            <v>843837</v>
          </cell>
          <cell r="I23">
            <v>1954267</v>
          </cell>
          <cell r="J23">
            <v>508197</v>
          </cell>
          <cell r="K23">
            <v>1890622</v>
          </cell>
          <cell r="L23">
            <v>613667</v>
          </cell>
          <cell r="M23">
            <v>1040092</v>
          </cell>
          <cell r="N23">
            <v>10141540</v>
          </cell>
          <cell r="O23">
            <v>2913289</v>
          </cell>
          <cell r="P23">
            <v>6168120</v>
          </cell>
          <cell r="Q23">
            <v>6177370</v>
          </cell>
          <cell r="R23">
            <v>6006845</v>
          </cell>
          <cell r="S23">
            <v>13054829</v>
          </cell>
          <cell r="T23">
            <v>31407164</v>
          </cell>
          <cell r="U23">
            <v>31</v>
          </cell>
        </row>
        <row r="24">
          <cell r="A24">
            <v>46266</v>
          </cell>
          <cell r="B24">
            <v>1810244</v>
          </cell>
          <cell r="C24">
            <v>1098510</v>
          </cell>
          <cell r="D24">
            <v>834178</v>
          </cell>
          <cell r="E24">
            <v>1056423</v>
          </cell>
          <cell r="F24">
            <v>3425746</v>
          </cell>
          <cell r="G24">
            <v>1654185</v>
          </cell>
          <cell r="H24">
            <v>810926</v>
          </cell>
          <cell r="I24">
            <v>1729982</v>
          </cell>
          <cell r="J24">
            <v>546947</v>
          </cell>
          <cell r="K24">
            <v>1867371</v>
          </cell>
          <cell r="L24">
            <v>468847</v>
          </cell>
          <cell r="M24">
            <v>897056</v>
          </cell>
          <cell r="N24">
            <v>6373627</v>
          </cell>
          <cell r="O24">
            <v>2581686</v>
          </cell>
          <cell r="P24">
            <v>4799355</v>
          </cell>
          <cell r="Q24">
            <v>5890857</v>
          </cell>
          <cell r="R24">
            <v>5510203</v>
          </cell>
          <cell r="S24">
            <v>8955313</v>
          </cell>
          <cell r="T24">
            <v>25155728</v>
          </cell>
          <cell r="U24">
            <v>29</v>
          </cell>
        </row>
      </sheetData>
      <sheetData sheetId="7"/>
      <sheetData sheetId="8"/>
      <sheetData sheetId="9"/>
      <sheetData sheetId="10"/>
      <sheetData sheetId="11">
        <row r="6">
          <cell r="A6">
            <v>46023</v>
          </cell>
          <cell r="C6">
            <v>2378226</v>
          </cell>
        </row>
        <row r="7">
          <cell r="A7">
            <v>46024</v>
          </cell>
          <cell r="C7">
            <v>2519475</v>
          </cell>
        </row>
        <row r="8">
          <cell r="A8">
            <v>46025</v>
          </cell>
          <cell r="C8">
            <v>2621055</v>
          </cell>
        </row>
        <row r="9">
          <cell r="A9">
            <v>46026</v>
          </cell>
          <cell r="C9">
            <v>2719263</v>
          </cell>
        </row>
        <row r="10">
          <cell r="A10">
            <v>46027</v>
          </cell>
          <cell r="C10">
            <v>2898911</v>
          </cell>
        </row>
        <row r="11">
          <cell r="A11">
            <v>46028</v>
          </cell>
          <cell r="C11">
            <v>3042148</v>
          </cell>
        </row>
        <row r="12">
          <cell r="A12">
            <v>46029</v>
          </cell>
          <cell r="C12">
            <v>3295144</v>
          </cell>
        </row>
        <row r="13">
          <cell r="A13">
            <v>46030</v>
          </cell>
          <cell r="C13">
            <v>3210653</v>
          </cell>
        </row>
        <row r="14">
          <cell r="A14">
            <v>46031</v>
          </cell>
          <cell r="C14">
            <v>3694593</v>
          </cell>
        </row>
        <row r="15">
          <cell r="A15">
            <v>46032</v>
          </cell>
          <cell r="C15">
            <v>3277946</v>
          </cell>
        </row>
        <row r="16">
          <cell r="A16">
            <v>46033</v>
          </cell>
          <cell r="C16">
            <v>2793454</v>
          </cell>
        </row>
        <row r="17">
          <cell r="A17">
            <v>46034</v>
          </cell>
          <cell r="C17">
            <v>3295777</v>
          </cell>
        </row>
        <row r="18">
          <cell r="A18">
            <v>46035</v>
          </cell>
          <cell r="C18">
            <v>3734974</v>
          </cell>
        </row>
        <row r="19">
          <cell r="A19">
            <v>46036</v>
          </cell>
          <cell r="C19">
            <v>3344193</v>
          </cell>
        </row>
        <row r="20">
          <cell r="A20">
            <v>46037</v>
          </cell>
          <cell r="C20">
            <v>3007995</v>
          </cell>
        </row>
        <row r="21">
          <cell r="A21">
            <v>46038</v>
          </cell>
          <cell r="C21">
            <v>3022116</v>
          </cell>
        </row>
        <row r="22">
          <cell r="A22">
            <v>46039</v>
          </cell>
          <cell r="C22">
            <v>4460578</v>
          </cell>
        </row>
        <row r="23">
          <cell r="A23">
            <v>46040</v>
          </cell>
          <cell r="C23">
            <v>3173288</v>
          </cell>
        </row>
        <row r="24">
          <cell r="A24">
            <v>46041</v>
          </cell>
          <cell r="C24">
            <v>3016590</v>
          </cell>
        </row>
        <row r="25">
          <cell r="A25">
            <v>46042</v>
          </cell>
          <cell r="C25">
            <v>3417052</v>
          </cell>
        </row>
        <row r="26">
          <cell r="A26">
            <v>46043</v>
          </cell>
          <cell r="C26">
            <v>3231972</v>
          </cell>
        </row>
        <row r="27">
          <cell r="A27">
            <v>46044</v>
          </cell>
          <cell r="C27">
            <v>2811733</v>
          </cell>
        </row>
        <row r="28">
          <cell r="A28">
            <v>46045</v>
          </cell>
          <cell r="C28">
            <v>3268853</v>
          </cell>
        </row>
        <row r="29">
          <cell r="A29">
            <v>46046</v>
          </cell>
          <cell r="C29">
            <v>3973582</v>
          </cell>
        </row>
        <row r="30">
          <cell r="A30">
            <v>46047</v>
          </cell>
          <cell r="C30">
            <v>3190689</v>
          </cell>
        </row>
        <row r="31">
          <cell r="A31">
            <v>46048</v>
          </cell>
          <cell r="C31">
            <v>2940313</v>
          </cell>
        </row>
        <row r="32">
          <cell r="A32">
            <v>46049</v>
          </cell>
          <cell r="C32">
            <v>2720474</v>
          </cell>
        </row>
        <row r="33">
          <cell r="A33">
            <v>46050</v>
          </cell>
          <cell r="C33">
            <v>2542570</v>
          </cell>
        </row>
        <row r="34">
          <cell r="A34">
            <v>46051</v>
          </cell>
          <cell r="C34">
            <v>2779706</v>
          </cell>
        </row>
        <row r="35">
          <cell r="A35">
            <v>46052</v>
          </cell>
          <cell r="C35">
            <v>2666995</v>
          </cell>
        </row>
        <row r="36">
          <cell r="A36">
            <v>46053</v>
          </cell>
          <cell r="C36">
            <v>2679969</v>
          </cell>
        </row>
        <row r="37">
          <cell r="A37">
            <v>46054</v>
          </cell>
          <cell r="C37">
            <v>2483403</v>
          </cell>
        </row>
        <row r="38">
          <cell r="A38">
            <v>46055</v>
          </cell>
          <cell r="C38">
            <v>2686333</v>
          </cell>
        </row>
        <row r="39">
          <cell r="A39">
            <v>46056</v>
          </cell>
          <cell r="C39">
            <v>2554449</v>
          </cell>
        </row>
        <row r="40">
          <cell r="A40">
            <v>46057</v>
          </cell>
          <cell r="C40">
            <v>2479832</v>
          </cell>
        </row>
        <row r="41">
          <cell r="A41">
            <v>46058</v>
          </cell>
          <cell r="C41">
            <v>2732231</v>
          </cell>
        </row>
        <row r="42">
          <cell r="A42">
            <v>46059</v>
          </cell>
          <cell r="C42">
            <v>2734196</v>
          </cell>
        </row>
        <row r="43">
          <cell r="A43">
            <v>46060</v>
          </cell>
          <cell r="C43">
            <v>2366400</v>
          </cell>
        </row>
        <row r="44">
          <cell r="A44">
            <v>46061</v>
          </cell>
          <cell r="C44">
            <v>2228706</v>
          </cell>
        </row>
        <row r="45">
          <cell r="A45">
            <v>46062</v>
          </cell>
          <cell r="C45">
            <v>2422588</v>
          </cell>
        </row>
        <row r="46">
          <cell r="A46">
            <v>46063</v>
          </cell>
          <cell r="C46">
            <v>2506563</v>
          </cell>
        </row>
        <row r="47">
          <cell r="A47">
            <v>46064</v>
          </cell>
          <cell r="C47">
            <v>2592365</v>
          </cell>
        </row>
        <row r="48">
          <cell r="A48">
            <v>46065</v>
          </cell>
          <cell r="C48">
            <v>2569710</v>
          </cell>
        </row>
        <row r="49">
          <cell r="A49">
            <v>46066</v>
          </cell>
          <cell r="C49">
            <v>2320941</v>
          </cell>
        </row>
        <row r="50">
          <cell r="A50">
            <v>46067</v>
          </cell>
          <cell r="C50">
            <v>1953854</v>
          </cell>
        </row>
        <row r="51">
          <cell r="A51">
            <v>46068</v>
          </cell>
          <cell r="C51">
            <v>1863333</v>
          </cell>
        </row>
        <row r="52">
          <cell r="A52">
            <v>46069</v>
          </cell>
          <cell r="C52">
            <v>1946069</v>
          </cell>
        </row>
        <row r="53">
          <cell r="A53">
            <v>46070</v>
          </cell>
          <cell r="C53">
            <v>2127313</v>
          </cell>
        </row>
        <row r="54">
          <cell r="A54">
            <v>46071</v>
          </cell>
          <cell r="C54">
            <v>2203350</v>
          </cell>
        </row>
        <row r="55">
          <cell r="A55">
            <v>46072</v>
          </cell>
          <cell r="C55">
            <v>2281033</v>
          </cell>
        </row>
        <row r="56">
          <cell r="A56">
            <v>46073</v>
          </cell>
          <cell r="C56">
            <v>2249449</v>
          </cell>
        </row>
        <row r="57">
          <cell r="A57">
            <v>46074</v>
          </cell>
          <cell r="C57">
            <v>2421891</v>
          </cell>
        </row>
        <row r="58">
          <cell r="A58">
            <v>46075</v>
          </cell>
          <cell r="C58">
            <v>2552442</v>
          </cell>
        </row>
        <row r="59">
          <cell r="A59">
            <v>46076</v>
          </cell>
          <cell r="C59">
            <v>2530113</v>
          </cell>
        </row>
        <row r="60">
          <cell r="A60">
            <v>46077</v>
          </cell>
          <cell r="C60">
            <v>2621226</v>
          </cell>
        </row>
        <row r="61">
          <cell r="A61">
            <v>46078</v>
          </cell>
          <cell r="C61">
            <v>2616169</v>
          </cell>
        </row>
        <row r="62">
          <cell r="A62">
            <v>46079</v>
          </cell>
          <cell r="C62">
            <v>2564735</v>
          </cell>
        </row>
        <row r="63">
          <cell r="A63">
            <v>46080</v>
          </cell>
          <cell r="C63">
            <v>2539999</v>
          </cell>
        </row>
        <row r="64">
          <cell r="A64">
            <v>46081</v>
          </cell>
          <cell r="C64">
            <v>2850365</v>
          </cell>
        </row>
        <row r="65">
          <cell r="A65">
            <v>46082</v>
          </cell>
          <cell r="C65">
            <v>3233464</v>
          </cell>
        </row>
        <row r="66">
          <cell r="A66">
            <v>46083</v>
          </cell>
          <cell r="C66">
            <v>3553990</v>
          </cell>
        </row>
        <row r="67">
          <cell r="A67">
            <v>46084</v>
          </cell>
          <cell r="C67">
            <v>3498863</v>
          </cell>
        </row>
        <row r="68">
          <cell r="A68">
            <v>46085</v>
          </cell>
          <cell r="C68">
            <v>3546110</v>
          </cell>
        </row>
        <row r="69">
          <cell r="A69">
            <v>46086</v>
          </cell>
          <cell r="C69">
            <v>3660548</v>
          </cell>
        </row>
        <row r="70">
          <cell r="A70">
            <v>46087</v>
          </cell>
          <cell r="C70">
            <v>3666214</v>
          </cell>
        </row>
        <row r="71">
          <cell r="A71">
            <v>46088</v>
          </cell>
          <cell r="C71">
            <v>3258488</v>
          </cell>
        </row>
        <row r="72">
          <cell r="A72">
            <v>46089</v>
          </cell>
          <cell r="C72">
            <v>2968739</v>
          </cell>
        </row>
        <row r="73">
          <cell r="A73">
            <v>46090</v>
          </cell>
          <cell r="C73">
            <v>3855541</v>
          </cell>
        </row>
        <row r="74">
          <cell r="A74">
            <v>46091</v>
          </cell>
          <cell r="C74">
            <v>3996613</v>
          </cell>
        </row>
        <row r="75">
          <cell r="A75">
            <v>46092</v>
          </cell>
          <cell r="C75">
            <v>4070171</v>
          </cell>
        </row>
        <row r="76">
          <cell r="A76">
            <v>46093</v>
          </cell>
          <cell r="C76">
            <v>3776645</v>
          </cell>
        </row>
        <row r="77">
          <cell r="A77">
            <v>46094</v>
          </cell>
          <cell r="C77">
            <v>3342895</v>
          </cell>
        </row>
        <row r="78">
          <cell r="A78">
            <v>46095</v>
          </cell>
          <cell r="C78">
            <v>3022186</v>
          </cell>
        </row>
        <row r="79">
          <cell r="A79">
            <v>46096</v>
          </cell>
          <cell r="C79">
            <v>3006902</v>
          </cell>
        </row>
        <row r="80">
          <cell r="A80">
            <v>46097</v>
          </cell>
          <cell r="C80">
            <v>3530671</v>
          </cell>
        </row>
        <row r="81">
          <cell r="A81">
            <v>46098</v>
          </cell>
          <cell r="C81">
            <v>3840757</v>
          </cell>
        </row>
        <row r="82">
          <cell r="A82">
            <v>46099</v>
          </cell>
          <cell r="C82">
            <v>3861773</v>
          </cell>
        </row>
        <row r="83">
          <cell r="A83">
            <v>46100</v>
          </cell>
          <cell r="C83">
            <v>3366398</v>
          </cell>
        </row>
        <row r="84">
          <cell r="A84">
            <v>46101</v>
          </cell>
          <cell r="C84">
            <v>3594374</v>
          </cell>
        </row>
        <row r="85">
          <cell r="A85">
            <v>46102</v>
          </cell>
          <cell r="C85">
            <v>3004166</v>
          </cell>
        </row>
        <row r="86">
          <cell r="A86">
            <v>46103</v>
          </cell>
          <cell r="C86">
            <v>2902056</v>
          </cell>
        </row>
        <row r="87">
          <cell r="A87">
            <v>46104</v>
          </cell>
          <cell r="C87">
            <v>3569492</v>
          </cell>
        </row>
        <row r="88">
          <cell r="A88">
            <v>46105</v>
          </cell>
          <cell r="C88">
            <v>3592388</v>
          </cell>
        </row>
        <row r="89">
          <cell r="A89">
            <v>46106</v>
          </cell>
          <cell r="C89">
            <v>3938265</v>
          </cell>
        </row>
        <row r="90">
          <cell r="A90">
            <v>46107</v>
          </cell>
          <cell r="C90">
            <v>3535512</v>
          </cell>
        </row>
        <row r="91">
          <cell r="A91">
            <v>46108</v>
          </cell>
          <cell r="C91">
            <v>3655210</v>
          </cell>
        </row>
        <row r="92">
          <cell r="A92">
            <v>46109</v>
          </cell>
          <cell r="C92">
            <v>2831806</v>
          </cell>
        </row>
        <row r="93">
          <cell r="A93">
            <v>46110</v>
          </cell>
          <cell r="C93">
            <v>2936456</v>
          </cell>
        </row>
        <row r="94">
          <cell r="A94">
            <v>46111</v>
          </cell>
          <cell r="C94">
            <v>3268519</v>
          </cell>
        </row>
        <row r="95">
          <cell r="A95">
            <v>46112</v>
          </cell>
          <cell r="C95">
            <v>3360831</v>
          </cell>
        </row>
        <row r="96">
          <cell r="A96">
            <v>46113</v>
          </cell>
          <cell r="C96">
            <v>3612328</v>
          </cell>
        </row>
        <row r="97">
          <cell r="A97">
            <v>46114</v>
          </cell>
          <cell r="C97">
            <v>3227901</v>
          </cell>
        </row>
        <row r="98">
          <cell r="A98">
            <v>46115</v>
          </cell>
          <cell r="C98">
            <v>3200602</v>
          </cell>
        </row>
        <row r="99">
          <cell r="A99">
            <v>46116</v>
          </cell>
          <cell r="C99">
            <v>3196981</v>
          </cell>
        </row>
        <row r="100">
          <cell r="A100">
            <v>46117</v>
          </cell>
          <cell r="C100">
            <v>3015967</v>
          </cell>
        </row>
        <row r="101">
          <cell r="A101">
            <v>46118</v>
          </cell>
          <cell r="C101">
            <v>3360626</v>
          </cell>
        </row>
        <row r="102">
          <cell r="A102">
            <v>46119</v>
          </cell>
          <cell r="C102">
            <v>3747900</v>
          </cell>
        </row>
        <row r="103">
          <cell r="A103">
            <v>46120</v>
          </cell>
          <cell r="C103">
            <v>3662692</v>
          </cell>
        </row>
        <row r="104">
          <cell r="A104">
            <v>46121</v>
          </cell>
          <cell r="C104">
            <v>3419691</v>
          </cell>
        </row>
        <row r="105">
          <cell r="A105">
            <v>46122</v>
          </cell>
          <cell r="C105">
            <v>2990835</v>
          </cell>
        </row>
        <row r="106">
          <cell r="A106">
            <v>46123</v>
          </cell>
          <cell r="C106">
            <v>2830990</v>
          </cell>
        </row>
        <row r="107">
          <cell r="A107">
            <v>46124</v>
          </cell>
          <cell r="C107">
            <v>3075490</v>
          </cell>
        </row>
        <row r="108">
          <cell r="A108">
            <v>46125</v>
          </cell>
          <cell r="C108">
            <v>3536622</v>
          </cell>
        </row>
        <row r="109">
          <cell r="A109">
            <v>46126</v>
          </cell>
          <cell r="C109">
            <v>3187954</v>
          </cell>
        </row>
        <row r="110">
          <cell r="A110">
            <v>46127</v>
          </cell>
          <cell r="C110">
            <v>2957811</v>
          </cell>
        </row>
        <row r="111">
          <cell r="A111">
            <v>46128</v>
          </cell>
          <cell r="C111">
            <v>3029462</v>
          </cell>
        </row>
        <row r="112">
          <cell r="A112">
            <v>46129</v>
          </cell>
          <cell r="C112">
            <v>3100277</v>
          </cell>
        </row>
        <row r="113">
          <cell r="A113">
            <v>46130</v>
          </cell>
          <cell r="C113">
            <v>3017856</v>
          </cell>
        </row>
        <row r="114">
          <cell r="A114">
            <v>46131</v>
          </cell>
          <cell r="C114">
            <v>2968225</v>
          </cell>
        </row>
        <row r="115">
          <cell r="A115">
            <v>46132</v>
          </cell>
          <cell r="C115">
            <v>3498644</v>
          </cell>
        </row>
        <row r="116">
          <cell r="A116">
            <v>46133</v>
          </cell>
          <cell r="C116">
            <v>2987082</v>
          </cell>
        </row>
        <row r="117">
          <cell r="A117">
            <v>46134</v>
          </cell>
          <cell r="C117">
            <v>3094612</v>
          </cell>
        </row>
        <row r="118">
          <cell r="A118">
            <v>46135</v>
          </cell>
          <cell r="C118">
            <v>3103959</v>
          </cell>
        </row>
        <row r="119">
          <cell r="A119">
            <v>46136</v>
          </cell>
          <cell r="C119">
            <v>3108029</v>
          </cell>
        </row>
        <row r="120">
          <cell r="A120">
            <v>46137</v>
          </cell>
          <cell r="C120">
            <v>2637653</v>
          </cell>
        </row>
        <row r="121">
          <cell r="A121">
            <v>46138</v>
          </cell>
          <cell r="C121">
            <v>2691910</v>
          </cell>
        </row>
        <row r="122">
          <cell r="A122">
            <v>46139</v>
          </cell>
          <cell r="C122">
            <v>2781600</v>
          </cell>
        </row>
        <row r="123">
          <cell r="A123">
            <v>46140</v>
          </cell>
          <cell r="C123">
            <v>3013109</v>
          </cell>
        </row>
        <row r="124">
          <cell r="A124">
            <v>46141</v>
          </cell>
          <cell r="C124">
            <v>2780702</v>
          </cell>
        </row>
        <row r="125">
          <cell r="A125">
            <v>46142</v>
          </cell>
          <cell r="C125">
            <v>2418832</v>
          </cell>
        </row>
        <row r="126">
          <cell r="A126">
            <v>46143</v>
          </cell>
          <cell r="C126">
            <v>2498476</v>
          </cell>
        </row>
        <row r="127">
          <cell r="A127">
            <v>46144</v>
          </cell>
          <cell r="C127">
            <v>2696473</v>
          </cell>
        </row>
        <row r="128">
          <cell r="A128">
            <v>46145</v>
          </cell>
          <cell r="C128">
            <v>2878167</v>
          </cell>
        </row>
        <row r="129">
          <cell r="A129">
            <v>46146</v>
          </cell>
          <cell r="C129">
            <v>3263223</v>
          </cell>
        </row>
        <row r="130">
          <cell r="A130">
            <v>46147</v>
          </cell>
          <cell r="C130">
            <v>2902181</v>
          </cell>
        </row>
        <row r="131">
          <cell r="A131">
            <v>46148</v>
          </cell>
          <cell r="C131">
            <v>3041013</v>
          </cell>
        </row>
        <row r="132">
          <cell r="A132">
            <v>46149</v>
          </cell>
          <cell r="C132">
            <v>3222378</v>
          </cell>
        </row>
        <row r="133">
          <cell r="A133">
            <v>46150</v>
          </cell>
          <cell r="C133">
            <v>3092635</v>
          </cell>
        </row>
        <row r="134">
          <cell r="A134">
            <v>46151</v>
          </cell>
          <cell r="C134">
            <v>2754244</v>
          </cell>
        </row>
        <row r="135">
          <cell r="A135">
            <v>46152</v>
          </cell>
          <cell r="C135">
            <v>2714310</v>
          </cell>
        </row>
        <row r="136">
          <cell r="A136">
            <v>46153</v>
          </cell>
          <cell r="C136">
            <v>3459825</v>
          </cell>
        </row>
        <row r="137">
          <cell r="A137">
            <v>46154</v>
          </cell>
          <cell r="C137">
            <v>3235153</v>
          </cell>
        </row>
        <row r="138">
          <cell r="A138">
            <v>46155</v>
          </cell>
          <cell r="C138">
            <v>3256154</v>
          </cell>
        </row>
        <row r="139">
          <cell r="A139">
            <v>46156</v>
          </cell>
          <cell r="C139">
            <v>3321936</v>
          </cell>
        </row>
        <row r="140">
          <cell r="A140">
            <v>46157</v>
          </cell>
          <cell r="C140">
            <v>3182300</v>
          </cell>
        </row>
        <row r="141">
          <cell r="A141">
            <v>46158</v>
          </cell>
          <cell r="C141">
            <v>2918889</v>
          </cell>
        </row>
        <row r="142">
          <cell r="A142">
            <v>46159</v>
          </cell>
          <cell r="C142">
            <v>2956897</v>
          </cell>
        </row>
        <row r="143">
          <cell r="A143">
            <v>46160</v>
          </cell>
          <cell r="C143">
            <v>3217580</v>
          </cell>
        </row>
        <row r="144">
          <cell r="A144">
            <v>46161</v>
          </cell>
          <cell r="C144">
            <v>3222849</v>
          </cell>
        </row>
        <row r="145">
          <cell r="A145">
            <v>46162</v>
          </cell>
          <cell r="C145">
            <v>3262495</v>
          </cell>
        </row>
        <row r="146">
          <cell r="A146">
            <v>46163</v>
          </cell>
          <cell r="C146">
            <v>3037438</v>
          </cell>
        </row>
        <row r="147">
          <cell r="A147">
            <v>46164</v>
          </cell>
          <cell r="C147">
            <v>3180130</v>
          </cell>
        </row>
        <row r="148">
          <cell r="A148">
            <v>46165</v>
          </cell>
          <cell r="C148">
            <v>2631773</v>
          </cell>
        </row>
        <row r="149">
          <cell r="A149">
            <v>46166</v>
          </cell>
          <cell r="C149">
            <v>2512410</v>
          </cell>
        </row>
        <row r="150">
          <cell r="A150">
            <v>46167</v>
          </cell>
          <cell r="C150">
            <v>3294075</v>
          </cell>
        </row>
        <row r="151">
          <cell r="A151">
            <v>46168</v>
          </cell>
          <cell r="C151">
            <v>3232842</v>
          </cell>
        </row>
        <row r="152">
          <cell r="A152">
            <v>46169</v>
          </cell>
          <cell r="C152">
            <v>3209579</v>
          </cell>
        </row>
        <row r="153">
          <cell r="A153">
            <v>46170</v>
          </cell>
          <cell r="C153">
            <v>2969438</v>
          </cell>
        </row>
        <row r="154">
          <cell r="A154">
            <v>46171</v>
          </cell>
          <cell r="C154">
            <v>3040148</v>
          </cell>
        </row>
        <row r="155">
          <cell r="A155">
            <v>46172</v>
          </cell>
          <cell r="C155">
            <v>2744543</v>
          </cell>
        </row>
        <row r="156">
          <cell r="A156">
            <v>46173</v>
          </cell>
          <cell r="C156">
            <v>2770502</v>
          </cell>
        </row>
        <row r="157">
          <cell r="A157">
            <v>46174</v>
          </cell>
          <cell r="C157">
            <v>3083479</v>
          </cell>
        </row>
        <row r="158">
          <cell r="A158">
            <v>46175</v>
          </cell>
          <cell r="C158">
            <v>3204401</v>
          </cell>
        </row>
        <row r="159">
          <cell r="A159">
            <v>46176</v>
          </cell>
          <cell r="C159">
            <v>3368294</v>
          </cell>
        </row>
        <row r="160">
          <cell r="A160">
            <v>46177</v>
          </cell>
          <cell r="C160">
            <v>3177354</v>
          </cell>
        </row>
        <row r="161">
          <cell r="A161">
            <v>46178</v>
          </cell>
          <cell r="C161">
            <v>3130853</v>
          </cell>
        </row>
        <row r="162">
          <cell r="A162">
            <v>46179</v>
          </cell>
          <cell r="C162">
            <v>2514704</v>
          </cell>
        </row>
        <row r="163">
          <cell r="A163">
            <v>46180</v>
          </cell>
          <cell r="C163">
            <v>2544402</v>
          </cell>
        </row>
        <row r="164">
          <cell r="A164">
            <v>46181</v>
          </cell>
          <cell r="C164">
            <v>3140891</v>
          </cell>
        </row>
        <row r="165">
          <cell r="A165">
            <v>46182</v>
          </cell>
          <cell r="C165">
            <v>2913746</v>
          </cell>
        </row>
        <row r="166">
          <cell r="A166">
            <v>46183</v>
          </cell>
          <cell r="C166">
            <v>2778216</v>
          </cell>
        </row>
        <row r="167">
          <cell r="A167">
            <v>46184</v>
          </cell>
          <cell r="C167">
            <v>2797570</v>
          </cell>
        </row>
        <row r="168">
          <cell r="A168">
            <v>46185</v>
          </cell>
          <cell r="C168">
            <v>3281835</v>
          </cell>
        </row>
        <row r="169">
          <cell r="A169">
            <v>46186</v>
          </cell>
          <cell r="C169">
            <v>2773534</v>
          </cell>
        </row>
        <row r="170">
          <cell r="A170">
            <v>46187</v>
          </cell>
          <cell r="C170">
            <v>2583719</v>
          </cell>
        </row>
        <row r="171">
          <cell r="A171">
            <v>46188</v>
          </cell>
          <cell r="C171">
            <v>3046360</v>
          </cell>
        </row>
        <row r="172">
          <cell r="A172">
            <v>46189</v>
          </cell>
          <cell r="C172">
            <v>2936706</v>
          </cell>
        </row>
        <row r="173">
          <cell r="A173">
            <v>46190</v>
          </cell>
          <cell r="C173">
            <v>2962396</v>
          </cell>
        </row>
        <row r="174">
          <cell r="A174">
            <v>46191</v>
          </cell>
          <cell r="C174">
            <v>2952205</v>
          </cell>
        </row>
        <row r="175">
          <cell r="A175">
            <v>46192</v>
          </cell>
          <cell r="C175">
            <v>2914309</v>
          </cell>
        </row>
        <row r="176">
          <cell r="A176">
            <v>46193</v>
          </cell>
          <cell r="C176">
            <v>2858161</v>
          </cell>
        </row>
        <row r="177">
          <cell r="A177">
            <v>46194</v>
          </cell>
          <cell r="C177">
            <v>2719244</v>
          </cell>
        </row>
        <row r="178">
          <cell r="A178">
            <v>46195</v>
          </cell>
          <cell r="C178">
            <v>3164372</v>
          </cell>
        </row>
        <row r="179">
          <cell r="A179">
            <v>46196</v>
          </cell>
          <cell r="C179">
            <v>3264027</v>
          </cell>
        </row>
        <row r="180">
          <cell r="A180">
            <v>46197</v>
          </cell>
          <cell r="C180">
            <v>3012416</v>
          </cell>
        </row>
        <row r="181">
          <cell r="A181">
            <v>46198</v>
          </cell>
          <cell r="C181">
            <v>3183606</v>
          </cell>
        </row>
        <row r="182">
          <cell r="A182">
            <v>46199</v>
          </cell>
          <cell r="C182">
            <v>2911629</v>
          </cell>
        </row>
        <row r="183">
          <cell r="A183">
            <v>46200</v>
          </cell>
          <cell r="C183">
            <v>3012844</v>
          </cell>
        </row>
        <row r="184">
          <cell r="A184">
            <v>46201</v>
          </cell>
          <cell r="C184">
            <v>2878926</v>
          </cell>
        </row>
        <row r="185">
          <cell r="A185">
            <v>46202</v>
          </cell>
          <cell r="C185">
            <v>3131730</v>
          </cell>
        </row>
        <row r="186">
          <cell r="A186">
            <v>46203</v>
          </cell>
          <cell r="C186">
            <v>3518950</v>
          </cell>
        </row>
        <row r="187">
          <cell r="A187">
            <v>46204</v>
          </cell>
          <cell r="C187">
            <v>3257237</v>
          </cell>
        </row>
        <row r="188">
          <cell r="A188">
            <v>46205</v>
          </cell>
          <cell r="C188">
            <v>3268938</v>
          </cell>
        </row>
        <row r="189">
          <cell r="A189">
            <v>46206</v>
          </cell>
          <cell r="C189">
            <v>3434522</v>
          </cell>
        </row>
        <row r="190">
          <cell r="A190">
            <v>46207</v>
          </cell>
          <cell r="C190">
            <v>3101305</v>
          </cell>
        </row>
        <row r="191">
          <cell r="A191">
            <v>46208</v>
          </cell>
          <cell r="C191">
            <v>2996072</v>
          </cell>
        </row>
        <row r="192">
          <cell r="A192">
            <v>46209</v>
          </cell>
          <cell r="C192">
            <v>3989240</v>
          </cell>
        </row>
        <row r="193">
          <cell r="A193">
            <v>46210</v>
          </cell>
          <cell r="C193">
            <v>3792623</v>
          </cell>
        </row>
        <row r="194">
          <cell r="A194">
            <v>46211</v>
          </cell>
          <cell r="C194">
            <v>3748467</v>
          </cell>
        </row>
        <row r="195">
          <cell r="A195">
            <v>46212</v>
          </cell>
          <cell r="C195">
            <v>3258207</v>
          </cell>
        </row>
        <row r="196">
          <cell r="A196">
            <v>46213</v>
          </cell>
          <cell r="C196">
            <v>3377784</v>
          </cell>
        </row>
        <row r="197">
          <cell r="A197">
            <v>46214</v>
          </cell>
          <cell r="C197">
            <v>2974913</v>
          </cell>
        </row>
        <row r="198">
          <cell r="A198">
            <v>46215</v>
          </cell>
          <cell r="C198">
            <v>3359124</v>
          </cell>
        </row>
        <row r="199">
          <cell r="A199">
            <v>46216</v>
          </cell>
          <cell r="C199">
            <v>2955544</v>
          </cell>
        </row>
        <row r="200">
          <cell r="A200">
            <v>46217</v>
          </cell>
          <cell r="C200">
            <v>3055186</v>
          </cell>
        </row>
        <row r="201">
          <cell r="A201">
            <v>46218</v>
          </cell>
          <cell r="C201">
            <v>3298902</v>
          </cell>
        </row>
        <row r="202">
          <cell r="A202">
            <v>46219</v>
          </cell>
          <cell r="C202">
            <v>3486587</v>
          </cell>
        </row>
        <row r="203">
          <cell r="A203">
            <v>46220</v>
          </cell>
          <cell r="C203">
            <v>2726331</v>
          </cell>
        </row>
        <row r="204">
          <cell r="A204">
            <v>46221</v>
          </cell>
          <cell r="C204">
            <v>2518702</v>
          </cell>
        </row>
        <row r="205">
          <cell r="A205">
            <v>46222</v>
          </cell>
          <cell r="C205">
            <v>2799164</v>
          </cell>
        </row>
        <row r="206">
          <cell r="A206">
            <v>46223</v>
          </cell>
          <cell r="C206">
            <v>3832695</v>
          </cell>
        </row>
        <row r="207">
          <cell r="A207">
            <v>46224</v>
          </cell>
          <cell r="C207">
            <v>3006096</v>
          </cell>
        </row>
        <row r="208">
          <cell r="A208">
            <v>46225</v>
          </cell>
          <cell r="C208">
            <v>3044176</v>
          </cell>
        </row>
        <row r="209">
          <cell r="A209">
            <v>46226</v>
          </cell>
          <cell r="C209">
            <v>3208053</v>
          </cell>
        </row>
        <row r="210">
          <cell r="A210">
            <v>46227</v>
          </cell>
          <cell r="C210">
            <v>3079088</v>
          </cell>
        </row>
        <row r="211">
          <cell r="A211">
            <v>46228</v>
          </cell>
          <cell r="C211">
            <v>2565901</v>
          </cell>
        </row>
        <row r="212">
          <cell r="A212">
            <v>46229</v>
          </cell>
          <cell r="C212">
            <v>2384865</v>
          </cell>
        </row>
        <row r="213">
          <cell r="A213">
            <v>46230</v>
          </cell>
          <cell r="C213">
            <v>2822073</v>
          </cell>
        </row>
        <row r="214">
          <cell r="A214">
            <v>46231</v>
          </cell>
          <cell r="C214">
            <v>2757839</v>
          </cell>
        </row>
        <row r="215">
          <cell r="A215">
            <v>46232</v>
          </cell>
          <cell r="C215">
            <v>2649136</v>
          </cell>
        </row>
        <row r="216">
          <cell r="A216">
            <v>46233</v>
          </cell>
          <cell r="C216">
            <v>2815941</v>
          </cell>
        </row>
        <row r="217">
          <cell r="A217">
            <v>46234</v>
          </cell>
          <cell r="C217">
            <v>2597439</v>
          </cell>
        </row>
        <row r="218">
          <cell r="A218">
            <v>46235</v>
          </cell>
          <cell r="C218">
            <v>2113922</v>
          </cell>
        </row>
        <row r="219">
          <cell r="A219">
            <v>46236</v>
          </cell>
          <cell r="C219">
            <v>1974555</v>
          </cell>
        </row>
        <row r="220">
          <cell r="A220">
            <v>46237</v>
          </cell>
          <cell r="C220">
            <v>2570917</v>
          </cell>
        </row>
        <row r="221">
          <cell r="A221">
            <v>46238</v>
          </cell>
          <cell r="C221">
            <v>2736153</v>
          </cell>
        </row>
        <row r="222">
          <cell r="A222">
            <v>46239</v>
          </cell>
          <cell r="C222">
            <v>2433272</v>
          </cell>
        </row>
        <row r="223">
          <cell r="A223">
            <v>46240</v>
          </cell>
          <cell r="C223">
            <v>2299006</v>
          </cell>
        </row>
        <row r="224">
          <cell r="A224">
            <v>46241</v>
          </cell>
          <cell r="C224">
            <v>2007321</v>
          </cell>
        </row>
        <row r="225">
          <cell r="A225">
            <v>46242</v>
          </cell>
          <cell r="C225">
            <v>1716893</v>
          </cell>
        </row>
        <row r="226">
          <cell r="A226">
            <v>46243</v>
          </cell>
          <cell r="C226">
            <v>1526046</v>
          </cell>
        </row>
        <row r="227">
          <cell r="A227">
            <v>46244</v>
          </cell>
          <cell r="C227">
            <v>1727350</v>
          </cell>
        </row>
        <row r="228">
          <cell r="A228">
            <v>46245</v>
          </cell>
          <cell r="C228">
            <v>1706009</v>
          </cell>
        </row>
        <row r="229">
          <cell r="A229">
            <v>46246</v>
          </cell>
          <cell r="C229">
            <v>1695778</v>
          </cell>
        </row>
        <row r="230">
          <cell r="A230">
            <v>46247</v>
          </cell>
          <cell r="C230">
            <v>1717374</v>
          </cell>
        </row>
        <row r="231">
          <cell r="A231">
            <v>46248</v>
          </cell>
          <cell r="C231">
            <v>1554964</v>
          </cell>
        </row>
        <row r="232">
          <cell r="A232">
            <v>46249</v>
          </cell>
          <cell r="C232">
            <v>1519088</v>
          </cell>
        </row>
        <row r="233">
          <cell r="A233">
            <v>46250</v>
          </cell>
          <cell r="C233">
            <v>1474631</v>
          </cell>
        </row>
        <row r="234">
          <cell r="A234">
            <v>46251</v>
          </cell>
          <cell r="C234">
            <v>1612028</v>
          </cell>
        </row>
        <row r="235">
          <cell r="A235">
            <v>46252</v>
          </cell>
          <cell r="C235">
            <v>1638885</v>
          </cell>
        </row>
        <row r="236">
          <cell r="A236">
            <v>46253</v>
          </cell>
          <cell r="C236">
            <v>1896182</v>
          </cell>
        </row>
        <row r="237">
          <cell r="A237">
            <v>46254</v>
          </cell>
          <cell r="C237">
            <v>1722253</v>
          </cell>
        </row>
        <row r="238">
          <cell r="A238">
            <v>46255</v>
          </cell>
          <cell r="C238">
            <v>1663333</v>
          </cell>
        </row>
        <row r="239">
          <cell r="A239">
            <v>46256</v>
          </cell>
          <cell r="C239">
            <v>1846433</v>
          </cell>
        </row>
        <row r="240">
          <cell r="A240">
            <v>46257</v>
          </cell>
          <cell r="C240">
            <v>1683612</v>
          </cell>
        </row>
        <row r="241">
          <cell r="A241">
            <v>46258</v>
          </cell>
          <cell r="C241">
            <v>1758215</v>
          </cell>
        </row>
        <row r="242">
          <cell r="A242">
            <v>46259</v>
          </cell>
          <cell r="C242">
            <v>1827676</v>
          </cell>
        </row>
        <row r="243">
          <cell r="A243">
            <v>46260</v>
          </cell>
          <cell r="C243">
            <v>2043615</v>
          </cell>
        </row>
        <row r="244">
          <cell r="A244">
            <v>46261</v>
          </cell>
          <cell r="C244">
            <v>2105414</v>
          </cell>
        </row>
        <row r="245">
          <cell r="A245">
            <v>46262</v>
          </cell>
          <cell r="C245">
            <v>1572966</v>
          </cell>
        </row>
        <row r="246">
          <cell r="A246">
            <v>46263</v>
          </cell>
          <cell r="C246">
            <v>1444400</v>
          </cell>
        </row>
        <row r="247">
          <cell r="A247">
            <v>46264</v>
          </cell>
          <cell r="C247">
            <v>1395987</v>
          </cell>
        </row>
        <row r="248">
          <cell r="A248">
            <v>46265</v>
          </cell>
          <cell r="C248">
            <v>1483325</v>
          </cell>
        </row>
        <row r="249">
          <cell r="A249">
            <v>46266</v>
          </cell>
          <cell r="C249">
            <v>1405145</v>
          </cell>
        </row>
        <row r="250">
          <cell r="A250">
            <v>46267</v>
          </cell>
          <cell r="C250">
            <v>1357396</v>
          </cell>
        </row>
        <row r="251">
          <cell r="A251">
            <v>46268</v>
          </cell>
          <cell r="C251">
            <v>1686258</v>
          </cell>
        </row>
        <row r="252">
          <cell r="A252">
            <v>46269</v>
          </cell>
          <cell r="C252">
            <v>1666506</v>
          </cell>
        </row>
        <row r="253">
          <cell r="A253">
            <v>46270</v>
          </cell>
          <cell r="C253">
            <v>1637105</v>
          </cell>
        </row>
        <row r="254">
          <cell r="A254">
            <v>46271</v>
          </cell>
          <cell r="C254">
            <v>1433588</v>
          </cell>
        </row>
        <row r="255">
          <cell r="A255">
            <v>46272</v>
          </cell>
          <cell r="C255">
            <v>1636028</v>
          </cell>
        </row>
        <row r="256">
          <cell r="A256">
            <v>46273</v>
          </cell>
          <cell r="C256">
            <v>1521665</v>
          </cell>
        </row>
        <row r="257">
          <cell r="A257">
            <v>46274</v>
          </cell>
          <cell r="C257">
            <v>1711287</v>
          </cell>
        </row>
        <row r="258">
          <cell r="A258">
            <v>46275</v>
          </cell>
          <cell r="C258">
            <v>1657005</v>
          </cell>
        </row>
        <row r="259">
          <cell r="A259">
            <v>46276</v>
          </cell>
          <cell r="C259">
            <v>1520841</v>
          </cell>
        </row>
        <row r="260">
          <cell r="A260">
            <v>46277</v>
          </cell>
          <cell r="C260">
            <v>1620597</v>
          </cell>
        </row>
        <row r="261">
          <cell r="A261">
            <v>46278</v>
          </cell>
          <cell r="C261">
            <v>1382228</v>
          </cell>
        </row>
        <row r="262">
          <cell r="A262">
            <v>46279</v>
          </cell>
          <cell r="C262">
            <v>1843675</v>
          </cell>
        </row>
        <row r="263">
          <cell r="A263">
            <v>46280</v>
          </cell>
          <cell r="C263">
            <v>1843032</v>
          </cell>
        </row>
        <row r="264">
          <cell r="A264">
            <v>46281</v>
          </cell>
          <cell r="C264">
            <v>1538847</v>
          </cell>
        </row>
        <row r="265">
          <cell r="A265">
            <v>46282</v>
          </cell>
          <cell r="C265">
            <v>1559367</v>
          </cell>
        </row>
        <row r="266">
          <cell r="A266">
            <v>46283</v>
          </cell>
          <cell r="C266">
            <v>1759171</v>
          </cell>
        </row>
        <row r="267">
          <cell r="A267">
            <v>46284</v>
          </cell>
          <cell r="C267">
            <v>1548269</v>
          </cell>
        </row>
        <row r="268">
          <cell r="A268">
            <v>46285</v>
          </cell>
          <cell r="C268">
            <v>1562732</v>
          </cell>
        </row>
        <row r="269">
          <cell r="A269">
            <v>46286</v>
          </cell>
          <cell r="C269">
            <v>1762098</v>
          </cell>
        </row>
        <row r="270">
          <cell r="A270">
            <v>46287</v>
          </cell>
          <cell r="C270">
            <v>1846459</v>
          </cell>
        </row>
        <row r="271">
          <cell r="A271">
            <v>46288</v>
          </cell>
          <cell r="C271">
            <v>1613252</v>
          </cell>
        </row>
        <row r="272">
          <cell r="A272">
            <v>46289</v>
          </cell>
          <cell r="C272">
            <v>1828275</v>
          </cell>
        </row>
        <row r="273">
          <cell r="A273">
            <v>46290</v>
          </cell>
          <cell r="C273">
            <v>1709696</v>
          </cell>
        </row>
        <row r="274">
          <cell r="A274">
            <v>46291</v>
          </cell>
          <cell r="C274">
            <v>1630047</v>
          </cell>
        </row>
        <row r="275">
          <cell r="A275">
            <v>46292</v>
          </cell>
          <cell r="C275">
            <v>1590495</v>
          </cell>
        </row>
        <row r="276">
          <cell r="A276">
            <v>46293</v>
          </cell>
          <cell r="C276">
            <v>1681060</v>
          </cell>
        </row>
        <row r="277">
          <cell r="A277">
            <v>46294</v>
          </cell>
          <cell r="C277">
            <v>1823818</v>
          </cell>
        </row>
        <row r="278">
          <cell r="A278">
            <v>46295</v>
          </cell>
          <cell r="C278">
            <v>1164490</v>
          </cell>
        </row>
      </sheetData>
      <sheetData sheetId="12">
        <row r="6">
          <cell r="A6">
            <v>46023</v>
          </cell>
          <cell r="H6">
            <v>6321</v>
          </cell>
          <cell r="K6">
            <v>1389764</v>
          </cell>
        </row>
        <row r="7">
          <cell r="A7">
            <v>46024</v>
          </cell>
          <cell r="H7">
            <v>4115</v>
          </cell>
          <cell r="K7">
            <v>1427762</v>
          </cell>
        </row>
        <row r="8">
          <cell r="A8">
            <v>46025</v>
          </cell>
          <cell r="H8">
            <v>5698</v>
          </cell>
          <cell r="K8">
            <v>1443630</v>
          </cell>
        </row>
        <row r="9">
          <cell r="A9">
            <v>46026</v>
          </cell>
          <cell r="H9">
            <v>2710</v>
          </cell>
          <cell r="K9">
            <v>1502744</v>
          </cell>
        </row>
        <row r="10">
          <cell r="A10">
            <v>46027</v>
          </cell>
          <cell r="H10">
            <v>3224</v>
          </cell>
          <cell r="K10">
            <v>1558130</v>
          </cell>
        </row>
        <row r="11">
          <cell r="A11">
            <v>46028</v>
          </cell>
          <cell r="H11">
            <v>3443</v>
          </cell>
          <cell r="K11">
            <v>1607892</v>
          </cell>
        </row>
        <row r="12">
          <cell r="A12">
            <v>46029</v>
          </cell>
          <cell r="H12">
            <v>3900</v>
          </cell>
          <cell r="K12">
            <v>1898904</v>
          </cell>
        </row>
        <row r="13">
          <cell r="A13">
            <v>46030</v>
          </cell>
          <cell r="H13">
            <v>4128</v>
          </cell>
          <cell r="K13">
            <v>1778095</v>
          </cell>
        </row>
        <row r="14">
          <cell r="A14">
            <v>46031</v>
          </cell>
          <cell r="H14">
            <v>4393</v>
          </cell>
          <cell r="K14">
            <v>2256176</v>
          </cell>
        </row>
        <row r="15">
          <cell r="A15">
            <v>46032</v>
          </cell>
          <cell r="H15">
            <v>5099</v>
          </cell>
          <cell r="K15">
            <v>1868717</v>
          </cell>
        </row>
        <row r="16">
          <cell r="A16">
            <v>46033</v>
          </cell>
          <cell r="H16">
            <v>3362</v>
          </cell>
          <cell r="K16">
            <v>1618995</v>
          </cell>
        </row>
        <row r="17">
          <cell r="A17">
            <v>46034</v>
          </cell>
          <cell r="H17">
            <v>4149</v>
          </cell>
          <cell r="K17">
            <v>1867325</v>
          </cell>
        </row>
        <row r="18">
          <cell r="A18">
            <v>46035</v>
          </cell>
          <cell r="H18">
            <v>5340</v>
          </cell>
          <cell r="K18">
            <v>1847401</v>
          </cell>
        </row>
        <row r="19">
          <cell r="A19">
            <v>46036</v>
          </cell>
          <cell r="H19">
            <v>6900</v>
          </cell>
          <cell r="K19">
            <v>1868038</v>
          </cell>
        </row>
        <row r="20">
          <cell r="A20">
            <v>46037</v>
          </cell>
          <cell r="H20">
            <v>11670</v>
          </cell>
          <cell r="K20">
            <v>1650433</v>
          </cell>
        </row>
        <row r="21">
          <cell r="A21">
            <v>46038</v>
          </cell>
          <cell r="H21">
            <v>4098</v>
          </cell>
          <cell r="K21">
            <v>1709815</v>
          </cell>
        </row>
        <row r="22">
          <cell r="A22">
            <v>46039</v>
          </cell>
          <cell r="H22">
            <v>3834</v>
          </cell>
          <cell r="K22">
            <v>2338168</v>
          </cell>
        </row>
        <row r="23">
          <cell r="A23">
            <v>46040</v>
          </cell>
          <cell r="H23">
            <v>5063</v>
          </cell>
          <cell r="K23">
            <v>1836799</v>
          </cell>
        </row>
        <row r="24">
          <cell r="A24">
            <v>46041</v>
          </cell>
          <cell r="H24">
            <v>4974</v>
          </cell>
          <cell r="K24">
            <v>1685987</v>
          </cell>
        </row>
        <row r="25">
          <cell r="A25">
            <v>46042</v>
          </cell>
          <cell r="H25">
            <v>6345</v>
          </cell>
          <cell r="K25">
            <v>1973167</v>
          </cell>
        </row>
        <row r="26">
          <cell r="A26">
            <v>46043</v>
          </cell>
          <cell r="H26">
            <v>5106</v>
          </cell>
          <cell r="K26">
            <v>1757935</v>
          </cell>
        </row>
        <row r="27">
          <cell r="A27">
            <v>46044</v>
          </cell>
          <cell r="H27">
            <v>7430</v>
          </cell>
          <cell r="K27">
            <v>1504149</v>
          </cell>
        </row>
        <row r="28">
          <cell r="A28">
            <v>46045</v>
          </cell>
          <cell r="H28">
            <v>4396</v>
          </cell>
          <cell r="K28">
            <v>1710907</v>
          </cell>
        </row>
        <row r="29">
          <cell r="A29">
            <v>46046</v>
          </cell>
          <cell r="H29">
            <v>4808</v>
          </cell>
          <cell r="K29">
            <v>2155252</v>
          </cell>
        </row>
        <row r="30">
          <cell r="A30">
            <v>46047</v>
          </cell>
          <cell r="H30">
            <v>3103</v>
          </cell>
          <cell r="K30">
            <v>1769081</v>
          </cell>
        </row>
        <row r="31">
          <cell r="A31">
            <v>46048</v>
          </cell>
          <cell r="H31">
            <v>5440</v>
          </cell>
          <cell r="K31">
            <v>1549500</v>
          </cell>
        </row>
        <row r="32">
          <cell r="A32">
            <v>46049</v>
          </cell>
          <cell r="H32">
            <v>7254</v>
          </cell>
          <cell r="K32">
            <v>1474665</v>
          </cell>
        </row>
        <row r="33">
          <cell r="A33">
            <v>46050</v>
          </cell>
          <cell r="H33">
            <v>4447</v>
          </cell>
          <cell r="K33">
            <v>1364878</v>
          </cell>
        </row>
        <row r="34">
          <cell r="A34">
            <v>46051</v>
          </cell>
          <cell r="H34">
            <v>6932</v>
          </cell>
          <cell r="K34">
            <v>1520821</v>
          </cell>
        </row>
        <row r="35">
          <cell r="A35">
            <v>46052</v>
          </cell>
          <cell r="H35">
            <v>6705</v>
          </cell>
          <cell r="K35">
            <v>1520376</v>
          </cell>
        </row>
        <row r="36">
          <cell r="A36">
            <v>46053</v>
          </cell>
          <cell r="H36">
            <v>4347</v>
          </cell>
          <cell r="K36">
            <v>1650762</v>
          </cell>
        </row>
        <row r="37">
          <cell r="A37">
            <v>46054</v>
          </cell>
          <cell r="H37">
            <v>3003</v>
          </cell>
          <cell r="K37">
            <v>1409517</v>
          </cell>
        </row>
        <row r="38">
          <cell r="A38">
            <v>46055</v>
          </cell>
          <cell r="H38">
            <v>3487</v>
          </cell>
          <cell r="K38">
            <v>1481746</v>
          </cell>
        </row>
        <row r="39">
          <cell r="A39">
            <v>46056</v>
          </cell>
          <cell r="H39">
            <v>5176</v>
          </cell>
          <cell r="K39">
            <v>1430301</v>
          </cell>
        </row>
        <row r="40">
          <cell r="A40">
            <v>46057</v>
          </cell>
          <cell r="H40">
            <v>5047</v>
          </cell>
          <cell r="K40">
            <v>1372695</v>
          </cell>
        </row>
        <row r="41">
          <cell r="A41">
            <v>46058</v>
          </cell>
          <cell r="H41">
            <v>4796</v>
          </cell>
          <cell r="K41">
            <v>1566990</v>
          </cell>
        </row>
        <row r="42">
          <cell r="A42">
            <v>46059</v>
          </cell>
          <cell r="H42">
            <v>5735</v>
          </cell>
          <cell r="K42">
            <v>1566926</v>
          </cell>
        </row>
        <row r="43">
          <cell r="A43">
            <v>46060</v>
          </cell>
          <cell r="H43">
            <v>3435</v>
          </cell>
          <cell r="K43">
            <v>1407568</v>
          </cell>
        </row>
        <row r="44">
          <cell r="A44">
            <v>46061</v>
          </cell>
          <cell r="H44">
            <v>1992</v>
          </cell>
          <cell r="K44">
            <v>1268846</v>
          </cell>
        </row>
        <row r="45">
          <cell r="A45">
            <v>46062</v>
          </cell>
          <cell r="H45">
            <v>3633</v>
          </cell>
          <cell r="K45">
            <v>1352878</v>
          </cell>
        </row>
        <row r="46">
          <cell r="A46">
            <v>46063</v>
          </cell>
          <cell r="H46">
            <v>3478</v>
          </cell>
          <cell r="K46">
            <v>1492869</v>
          </cell>
        </row>
        <row r="47">
          <cell r="A47">
            <v>46064</v>
          </cell>
          <cell r="H47">
            <v>5632</v>
          </cell>
          <cell r="K47">
            <v>1497072</v>
          </cell>
        </row>
        <row r="48">
          <cell r="A48">
            <v>46065</v>
          </cell>
          <cell r="H48">
            <v>3986</v>
          </cell>
          <cell r="K48">
            <v>1603746</v>
          </cell>
        </row>
        <row r="49">
          <cell r="A49">
            <v>46066</v>
          </cell>
          <cell r="H49">
            <v>4912</v>
          </cell>
          <cell r="K49">
            <v>1385910</v>
          </cell>
        </row>
        <row r="50">
          <cell r="A50">
            <v>46067</v>
          </cell>
          <cell r="H50">
            <v>4662</v>
          </cell>
          <cell r="K50">
            <v>1136914</v>
          </cell>
        </row>
        <row r="51">
          <cell r="A51">
            <v>46068</v>
          </cell>
          <cell r="H51">
            <v>2048</v>
          </cell>
          <cell r="K51">
            <v>1068779</v>
          </cell>
        </row>
        <row r="52">
          <cell r="A52">
            <v>46069</v>
          </cell>
          <cell r="H52">
            <v>2206</v>
          </cell>
          <cell r="K52">
            <v>1155684</v>
          </cell>
        </row>
        <row r="53">
          <cell r="A53">
            <v>46070</v>
          </cell>
          <cell r="H53">
            <v>6544</v>
          </cell>
          <cell r="K53">
            <v>1311545</v>
          </cell>
        </row>
        <row r="54">
          <cell r="A54">
            <v>46071</v>
          </cell>
          <cell r="H54">
            <v>4101</v>
          </cell>
          <cell r="K54">
            <v>1327713</v>
          </cell>
        </row>
        <row r="55">
          <cell r="A55">
            <v>46072</v>
          </cell>
          <cell r="H55">
            <v>2050</v>
          </cell>
          <cell r="K55">
            <v>1342510</v>
          </cell>
        </row>
        <row r="56">
          <cell r="A56">
            <v>46073</v>
          </cell>
          <cell r="H56">
            <v>4074</v>
          </cell>
          <cell r="K56">
            <v>1294984</v>
          </cell>
        </row>
        <row r="57">
          <cell r="A57">
            <v>46074</v>
          </cell>
          <cell r="H57">
            <v>2614</v>
          </cell>
          <cell r="K57">
            <v>1429331</v>
          </cell>
        </row>
        <row r="58">
          <cell r="A58">
            <v>46075</v>
          </cell>
          <cell r="H58">
            <v>2257</v>
          </cell>
          <cell r="K58">
            <v>1529839</v>
          </cell>
        </row>
        <row r="59">
          <cell r="A59">
            <v>46076</v>
          </cell>
          <cell r="H59">
            <v>2313</v>
          </cell>
          <cell r="K59">
            <v>1440742</v>
          </cell>
        </row>
        <row r="60">
          <cell r="A60">
            <v>46077</v>
          </cell>
          <cell r="H60">
            <v>3486</v>
          </cell>
          <cell r="K60">
            <v>1460967</v>
          </cell>
        </row>
        <row r="61">
          <cell r="A61">
            <v>46078</v>
          </cell>
          <cell r="H61">
            <v>3964</v>
          </cell>
          <cell r="K61">
            <v>1456037</v>
          </cell>
        </row>
        <row r="62">
          <cell r="A62">
            <v>46079</v>
          </cell>
          <cell r="H62">
            <v>3998</v>
          </cell>
          <cell r="K62">
            <v>1412869</v>
          </cell>
        </row>
        <row r="63">
          <cell r="A63">
            <v>46080</v>
          </cell>
          <cell r="H63">
            <v>9438</v>
          </cell>
          <cell r="K63">
            <v>1403359</v>
          </cell>
        </row>
        <row r="64">
          <cell r="A64">
            <v>46081</v>
          </cell>
          <cell r="H64">
            <v>4731</v>
          </cell>
          <cell r="K64">
            <v>1612293</v>
          </cell>
        </row>
        <row r="65">
          <cell r="A65">
            <v>46082</v>
          </cell>
          <cell r="H65">
            <v>5197</v>
          </cell>
          <cell r="K65">
            <v>1681969</v>
          </cell>
        </row>
        <row r="66">
          <cell r="A66">
            <v>46083</v>
          </cell>
          <cell r="H66">
            <v>5096</v>
          </cell>
          <cell r="K66">
            <v>1857363</v>
          </cell>
        </row>
        <row r="67">
          <cell r="A67">
            <v>46084</v>
          </cell>
          <cell r="H67">
            <v>4192</v>
          </cell>
          <cell r="K67">
            <v>1791987</v>
          </cell>
        </row>
        <row r="68">
          <cell r="A68">
            <v>46085</v>
          </cell>
          <cell r="H68">
            <v>9697</v>
          </cell>
          <cell r="K68">
            <v>1823465</v>
          </cell>
        </row>
        <row r="69">
          <cell r="A69">
            <v>46086</v>
          </cell>
          <cell r="H69">
            <v>5081</v>
          </cell>
          <cell r="K69">
            <v>1817741</v>
          </cell>
        </row>
        <row r="70">
          <cell r="A70">
            <v>46087</v>
          </cell>
          <cell r="H70">
            <v>6192</v>
          </cell>
          <cell r="K70">
            <v>1911944</v>
          </cell>
        </row>
        <row r="71">
          <cell r="A71">
            <v>46088</v>
          </cell>
          <cell r="H71">
            <v>4851</v>
          </cell>
          <cell r="K71">
            <v>1739783</v>
          </cell>
        </row>
        <row r="72">
          <cell r="A72">
            <v>46089</v>
          </cell>
          <cell r="H72">
            <v>3180</v>
          </cell>
          <cell r="K72">
            <v>1595957</v>
          </cell>
        </row>
        <row r="73">
          <cell r="A73">
            <v>46090</v>
          </cell>
          <cell r="H73">
            <v>7103</v>
          </cell>
          <cell r="K73">
            <v>2049341</v>
          </cell>
        </row>
        <row r="74">
          <cell r="A74">
            <v>46091</v>
          </cell>
          <cell r="H74">
            <v>5319</v>
          </cell>
          <cell r="K74">
            <v>2274569</v>
          </cell>
        </row>
        <row r="75">
          <cell r="A75">
            <v>46092</v>
          </cell>
          <cell r="H75">
            <v>6987</v>
          </cell>
          <cell r="K75">
            <v>2336410</v>
          </cell>
        </row>
        <row r="76">
          <cell r="A76">
            <v>46093</v>
          </cell>
          <cell r="H76">
            <v>5025</v>
          </cell>
          <cell r="K76">
            <v>2028663</v>
          </cell>
        </row>
        <row r="77">
          <cell r="A77">
            <v>46094</v>
          </cell>
          <cell r="H77">
            <v>4179</v>
          </cell>
          <cell r="K77">
            <v>1771002</v>
          </cell>
        </row>
        <row r="78">
          <cell r="A78">
            <v>46095</v>
          </cell>
          <cell r="H78">
            <v>3589</v>
          </cell>
          <cell r="K78">
            <v>1646780</v>
          </cell>
        </row>
        <row r="79">
          <cell r="A79">
            <v>46096</v>
          </cell>
          <cell r="H79">
            <v>2696</v>
          </cell>
          <cell r="K79">
            <v>1701552</v>
          </cell>
        </row>
        <row r="80">
          <cell r="A80">
            <v>46097</v>
          </cell>
          <cell r="H80">
            <v>4478</v>
          </cell>
          <cell r="K80">
            <v>1855910</v>
          </cell>
        </row>
        <row r="81">
          <cell r="A81">
            <v>46098</v>
          </cell>
          <cell r="H81">
            <v>4382</v>
          </cell>
          <cell r="K81">
            <v>2165699</v>
          </cell>
        </row>
        <row r="82">
          <cell r="A82">
            <v>46099</v>
          </cell>
          <cell r="H82">
            <v>13833</v>
          </cell>
          <cell r="K82">
            <v>2165704</v>
          </cell>
        </row>
        <row r="83">
          <cell r="A83">
            <v>46100</v>
          </cell>
          <cell r="H83">
            <v>4068</v>
          </cell>
          <cell r="K83">
            <v>1744469</v>
          </cell>
        </row>
        <row r="84">
          <cell r="A84">
            <v>46101</v>
          </cell>
          <cell r="H84">
            <v>7274</v>
          </cell>
          <cell r="K84">
            <v>1944644</v>
          </cell>
        </row>
        <row r="85">
          <cell r="A85">
            <v>46102</v>
          </cell>
          <cell r="H85">
            <v>5483</v>
          </cell>
          <cell r="K85">
            <v>1588995</v>
          </cell>
        </row>
        <row r="86">
          <cell r="A86">
            <v>46103</v>
          </cell>
          <cell r="H86">
            <v>3638</v>
          </cell>
          <cell r="K86">
            <v>1555424</v>
          </cell>
        </row>
        <row r="87">
          <cell r="A87">
            <v>46104</v>
          </cell>
          <cell r="H87">
            <v>7723</v>
          </cell>
          <cell r="K87">
            <v>1907150</v>
          </cell>
        </row>
        <row r="88">
          <cell r="A88">
            <v>46105</v>
          </cell>
          <cell r="H88">
            <v>11850</v>
          </cell>
          <cell r="K88">
            <v>1945707</v>
          </cell>
        </row>
        <row r="89">
          <cell r="A89">
            <v>46106</v>
          </cell>
          <cell r="H89">
            <v>8236</v>
          </cell>
          <cell r="K89">
            <v>2236589</v>
          </cell>
        </row>
        <row r="90">
          <cell r="A90">
            <v>46107</v>
          </cell>
          <cell r="H90">
            <v>21310</v>
          </cell>
          <cell r="K90">
            <v>1993922</v>
          </cell>
        </row>
        <row r="91">
          <cell r="A91">
            <v>46108</v>
          </cell>
          <cell r="H91">
            <v>8846</v>
          </cell>
          <cell r="K91">
            <v>2056005</v>
          </cell>
        </row>
        <row r="92">
          <cell r="A92">
            <v>46109</v>
          </cell>
          <cell r="H92">
            <v>4533</v>
          </cell>
          <cell r="K92">
            <v>1587882</v>
          </cell>
        </row>
        <row r="93">
          <cell r="A93">
            <v>46110</v>
          </cell>
          <cell r="H93">
            <v>4064</v>
          </cell>
          <cell r="K93">
            <v>1599258</v>
          </cell>
        </row>
        <row r="94">
          <cell r="A94">
            <v>46111</v>
          </cell>
          <cell r="H94">
            <v>8624</v>
          </cell>
          <cell r="K94">
            <v>1770244</v>
          </cell>
        </row>
        <row r="95">
          <cell r="A95">
            <v>46112</v>
          </cell>
          <cell r="H95">
            <v>6092</v>
          </cell>
          <cell r="K95">
            <v>1781605</v>
          </cell>
        </row>
        <row r="96">
          <cell r="A96">
            <v>46113</v>
          </cell>
          <cell r="H96">
            <v>4778</v>
          </cell>
          <cell r="K96">
            <v>1889584</v>
          </cell>
        </row>
        <row r="97">
          <cell r="A97">
            <v>46114</v>
          </cell>
          <cell r="H97">
            <v>4170</v>
          </cell>
          <cell r="K97">
            <v>1734215</v>
          </cell>
        </row>
        <row r="98">
          <cell r="A98">
            <v>46115</v>
          </cell>
          <cell r="H98">
            <v>4385</v>
          </cell>
          <cell r="K98">
            <v>1700922</v>
          </cell>
        </row>
        <row r="99">
          <cell r="A99">
            <v>46116</v>
          </cell>
          <cell r="H99">
            <v>3886</v>
          </cell>
          <cell r="K99">
            <v>1845008</v>
          </cell>
        </row>
        <row r="100">
          <cell r="A100">
            <v>46117</v>
          </cell>
          <cell r="H100">
            <v>3838</v>
          </cell>
          <cell r="K100">
            <v>1717982</v>
          </cell>
        </row>
        <row r="101">
          <cell r="A101">
            <v>46118</v>
          </cell>
          <cell r="H101">
            <v>4914</v>
          </cell>
          <cell r="K101">
            <v>1805773</v>
          </cell>
        </row>
        <row r="102">
          <cell r="A102">
            <v>46119</v>
          </cell>
          <cell r="H102">
            <v>11889</v>
          </cell>
          <cell r="K102">
            <v>2015092</v>
          </cell>
        </row>
        <row r="103">
          <cell r="A103">
            <v>46120</v>
          </cell>
          <cell r="H103">
            <v>7739</v>
          </cell>
          <cell r="K103">
            <v>1962117</v>
          </cell>
        </row>
        <row r="104">
          <cell r="A104">
            <v>46121</v>
          </cell>
          <cell r="H104">
            <v>5202</v>
          </cell>
          <cell r="K104">
            <v>1902080</v>
          </cell>
        </row>
        <row r="105">
          <cell r="A105">
            <v>46122</v>
          </cell>
          <cell r="H105">
            <v>8418</v>
          </cell>
          <cell r="K105">
            <v>1591055</v>
          </cell>
        </row>
        <row r="106">
          <cell r="A106">
            <v>46123</v>
          </cell>
          <cell r="H106">
            <v>8638</v>
          </cell>
          <cell r="K106">
            <v>1565298</v>
          </cell>
        </row>
        <row r="107">
          <cell r="A107">
            <v>46124</v>
          </cell>
          <cell r="H107">
            <v>5393</v>
          </cell>
          <cell r="K107">
            <v>1781626</v>
          </cell>
        </row>
        <row r="108">
          <cell r="A108">
            <v>46125</v>
          </cell>
          <cell r="H108">
            <v>5244</v>
          </cell>
          <cell r="K108">
            <v>2018822</v>
          </cell>
        </row>
        <row r="109">
          <cell r="A109">
            <v>46126</v>
          </cell>
          <cell r="H109">
            <v>5812</v>
          </cell>
          <cell r="K109">
            <v>1739204</v>
          </cell>
        </row>
        <row r="110">
          <cell r="A110">
            <v>46127</v>
          </cell>
          <cell r="H110">
            <v>3908</v>
          </cell>
          <cell r="K110">
            <v>1563798</v>
          </cell>
        </row>
        <row r="111">
          <cell r="A111">
            <v>46128</v>
          </cell>
          <cell r="H111">
            <v>5261</v>
          </cell>
          <cell r="K111">
            <v>1577692</v>
          </cell>
        </row>
        <row r="112">
          <cell r="A112">
            <v>46129</v>
          </cell>
          <cell r="H112">
            <v>4288</v>
          </cell>
          <cell r="K112">
            <v>1721250</v>
          </cell>
        </row>
        <row r="113">
          <cell r="A113">
            <v>46130</v>
          </cell>
          <cell r="H113">
            <v>6476</v>
          </cell>
          <cell r="K113">
            <v>1790383</v>
          </cell>
        </row>
        <row r="114">
          <cell r="A114">
            <v>46131</v>
          </cell>
          <cell r="H114">
            <v>3414</v>
          </cell>
          <cell r="K114">
            <v>1681410</v>
          </cell>
        </row>
        <row r="115">
          <cell r="A115">
            <v>46132</v>
          </cell>
          <cell r="H115">
            <v>4504</v>
          </cell>
          <cell r="K115">
            <v>1960288</v>
          </cell>
        </row>
        <row r="116">
          <cell r="A116">
            <v>46133</v>
          </cell>
          <cell r="H116">
            <v>5322</v>
          </cell>
          <cell r="K116">
            <v>1578788</v>
          </cell>
        </row>
        <row r="117">
          <cell r="A117">
            <v>46134</v>
          </cell>
          <cell r="H117">
            <v>6200</v>
          </cell>
          <cell r="K117">
            <v>1630351</v>
          </cell>
        </row>
        <row r="118">
          <cell r="A118">
            <v>46135</v>
          </cell>
          <cell r="H118">
            <v>6176</v>
          </cell>
          <cell r="K118">
            <v>1642742</v>
          </cell>
        </row>
        <row r="119">
          <cell r="A119">
            <v>46136</v>
          </cell>
          <cell r="H119">
            <v>6691</v>
          </cell>
          <cell r="K119">
            <v>1650689</v>
          </cell>
        </row>
        <row r="120">
          <cell r="A120">
            <v>46137</v>
          </cell>
          <cell r="H120">
            <v>6098</v>
          </cell>
          <cell r="K120">
            <v>1470156</v>
          </cell>
        </row>
        <row r="121">
          <cell r="A121">
            <v>46138</v>
          </cell>
          <cell r="H121">
            <v>3423</v>
          </cell>
          <cell r="K121">
            <v>1512355</v>
          </cell>
        </row>
        <row r="122">
          <cell r="A122">
            <v>46139</v>
          </cell>
          <cell r="H122">
            <v>4347</v>
          </cell>
          <cell r="K122">
            <v>1511366</v>
          </cell>
        </row>
        <row r="123">
          <cell r="A123">
            <v>46140</v>
          </cell>
          <cell r="H123">
            <v>3893</v>
          </cell>
          <cell r="K123">
            <v>1573791</v>
          </cell>
        </row>
        <row r="124">
          <cell r="A124">
            <v>46141</v>
          </cell>
          <cell r="H124">
            <v>3667</v>
          </cell>
          <cell r="K124">
            <v>1427163</v>
          </cell>
        </row>
        <row r="125">
          <cell r="A125">
            <v>46142</v>
          </cell>
          <cell r="H125">
            <v>5392</v>
          </cell>
          <cell r="K125">
            <v>1290889</v>
          </cell>
        </row>
        <row r="126">
          <cell r="A126">
            <v>46143</v>
          </cell>
          <cell r="H126">
            <v>3455</v>
          </cell>
          <cell r="K126">
            <v>1373079</v>
          </cell>
        </row>
        <row r="127">
          <cell r="A127">
            <v>46144</v>
          </cell>
          <cell r="H127">
            <v>3448</v>
          </cell>
          <cell r="K127">
            <v>1453798</v>
          </cell>
        </row>
        <row r="128">
          <cell r="A128">
            <v>46145</v>
          </cell>
          <cell r="H128">
            <v>2604</v>
          </cell>
          <cell r="K128">
            <v>1616233</v>
          </cell>
        </row>
        <row r="129">
          <cell r="A129">
            <v>46146</v>
          </cell>
          <cell r="H129">
            <v>7988</v>
          </cell>
          <cell r="K129">
            <v>1720298</v>
          </cell>
        </row>
        <row r="130">
          <cell r="A130">
            <v>46147</v>
          </cell>
          <cell r="H130">
            <v>4548</v>
          </cell>
          <cell r="K130">
            <v>1479556</v>
          </cell>
        </row>
        <row r="131">
          <cell r="A131">
            <v>46148</v>
          </cell>
          <cell r="H131">
            <v>6826</v>
          </cell>
          <cell r="K131">
            <v>1591442</v>
          </cell>
        </row>
        <row r="132">
          <cell r="A132">
            <v>46149</v>
          </cell>
          <cell r="H132">
            <v>5211</v>
          </cell>
          <cell r="K132">
            <v>1691930</v>
          </cell>
        </row>
        <row r="133">
          <cell r="A133">
            <v>46150</v>
          </cell>
          <cell r="H133">
            <v>3632</v>
          </cell>
          <cell r="K133">
            <v>1613946</v>
          </cell>
        </row>
        <row r="134">
          <cell r="A134">
            <v>46151</v>
          </cell>
          <cell r="H134">
            <v>3173</v>
          </cell>
          <cell r="K134">
            <v>1532385</v>
          </cell>
        </row>
        <row r="135">
          <cell r="A135">
            <v>46152</v>
          </cell>
          <cell r="H135">
            <v>3297</v>
          </cell>
          <cell r="K135">
            <v>1519204</v>
          </cell>
        </row>
        <row r="136">
          <cell r="A136">
            <v>46153</v>
          </cell>
          <cell r="H136">
            <v>7217</v>
          </cell>
          <cell r="K136">
            <v>1814989</v>
          </cell>
        </row>
        <row r="137">
          <cell r="A137">
            <v>46154</v>
          </cell>
          <cell r="H137">
            <v>5959</v>
          </cell>
          <cell r="K137">
            <v>1704606</v>
          </cell>
        </row>
        <row r="138">
          <cell r="A138">
            <v>46155</v>
          </cell>
          <cell r="H138">
            <v>3823</v>
          </cell>
          <cell r="K138">
            <v>1687061</v>
          </cell>
        </row>
        <row r="139">
          <cell r="A139">
            <v>46156</v>
          </cell>
          <cell r="H139">
            <v>4566</v>
          </cell>
          <cell r="K139">
            <v>1709681</v>
          </cell>
        </row>
        <row r="140">
          <cell r="A140">
            <v>46157</v>
          </cell>
          <cell r="H140">
            <v>9136</v>
          </cell>
          <cell r="K140">
            <v>1634443</v>
          </cell>
        </row>
        <row r="141">
          <cell r="A141">
            <v>46158</v>
          </cell>
          <cell r="H141">
            <v>6123</v>
          </cell>
          <cell r="K141">
            <v>1600687</v>
          </cell>
        </row>
        <row r="142">
          <cell r="A142">
            <v>46159</v>
          </cell>
          <cell r="H142">
            <v>3324</v>
          </cell>
          <cell r="K142">
            <v>1681676</v>
          </cell>
        </row>
        <row r="143">
          <cell r="A143">
            <v>46160</v>
          </cell>
          <cell r="H143">
            <v>3016</v>
          </cell>
          <cell r="K143">
            <v>1776641</v>
          </cell>
        </row>
        <row r="144">
          <cell r="A144">
            <v>46161</v>
          </cell>
          <cell r="H144">
            <v>4287</v>
          </cell>
          <cell r="K144">
            <v>1790707</v>
          </cell>
        </row>
        <row r="145">
          <cell r="A145">
            <v>46162</v>
          </cell>
          <cell r="H145">
            <v>4535</v>
          </cell>
          <cell r="K145">
            <v>1669160</v>
          </cell>
        </row>
        <row r="146">
          <cell r="A146">
            <v>46163</v>
          </cell>
          <cell r="H146">
            <v>4940</v>
          </cell>
          <cell r="K146">
            <v>1583304</v>
          </cell>
        </row>
        <row r="147">
          <cell r="A147">
            <v>46164</v>
          </cell>
          <cell r="H147">
            <v>7047</v>
          </cell>
          <cell r="K147">
            <v>1572401</v>
          </cell>
        </row>
        <row r="148">
          <cell r="A148">
            <v>46165</v>
          </cell>
          <cell r="H148">
            <v>4386</v>
          </cell>
          <cell r="K148">
            <v>1428464</v>
          </cell>
        </row>
        <row r="149">
          <cell r="A149">
            <v>46166</v>
          </cell>
          <cell r="H149">
            <v>2744</v>
          </cell>
          <cell r="K149">
            <v>1338472</v>
          </cell>
        </row>
        <row r="150">
          <cell r="A150">
            <v>46167</v>
          </cell>
          <cell r="H150">
            <v>5321</v>
          </cell>
          <cell r="K150">
            <v>1714898</v>
          </cell>
        </row>
        <row r="151">
          <cell r="A151">
            <v>46168</v>
          </cell>
          <cell r="H151">
            <v>4624</v>
          </cell>
          <cell r="K151">
            <v>1780038</v>
          </cell>
        </row>
        <row r="152">
          <cell r="A152">
            <v>46169</v>
          </cell>
          <cell r="H152">
            <v>8050</v>
          </cell>
          <cell r="K152">
            <v>1779696</v>
          </cell>
        </row>
        <row r="153">
          <cell r="A153">
            <v>46170</v>
          </cell>
          <cell r="H153">
            <v>7216</v>
          </cell>
          <cell r="K153">
            <v>1569898</v>
          </cell>
        </row>
        <row r="154">
          <cell r="A154">
            <v>46171</v>
          </cell>
          <cell r="H154">
            <v>5284</v>
          </cell>
          <cell r="K154">
            <v>1647845</v>
          </cell>
        </row>
        <row r="155">
          <cell r="A155">
            <v>46172</v>
          </cell>
          <cell r="H155">
            <v>5026</v>
          </cell>
          <cell r="K155">
            <v>1561791</v>
          </cell>
        </row>
        <row r="156">
          <cell r="A156">
            <v>46173</v>
          </cell>
          <cell r="H156">
            <v>3323</v>
          </cell>
          <cell r="K156">
            <v>1508510</v>
          </cell>
        </row>
        <row r="157">
          <cell r="A157">
            <v>46174</v>
          </cell>
          <cell r="H157">
            <v>6988</v>
          </cell>
          <cell r="K157">
            <v>1682070</v>
          </cell>
        </row>
        <row r="158">
          <cell r="A158">
            <v>46175</v>
          </cell>
          <cell r="H158">
            <v>6044</v>
          </cell>
          <cell r="K158">
            <v>1867990</v>
          </cell>
        </row>
        <row r="159">
          <cell r="A159">
            <v>46176</v>
          </cell>
          <cell r="H159">
            <v>3325</v>
          </cell>
          <cell r="K159">
            <v>2057282</v>
          </cell>
        </row>
        <row r="160">
          <cell r="A160">
            <v>46177</v>
          </cell>
          <cell r="H160">
            <v>5008</v>
          </cell>
          <cell r="K160">
            <v>1817755</v>
          </cell>
        </row>
        <row r="161">
          <cell r="A161">
            <v>46178</v>
          </cell>
          <cell r="H161">
            <v>5956</v>
          </cell>
          <cell r="K161">
            <v>1896684</v>
          </cell>
        </row>
        <row r="162">
          <cell r="A162">
            <v>46179</v>
          </cell>
          <cell r="H162">
            <v>4267</v>
          </cell>
          <cell r="K162">
            <v>1453151</v>
          </cell>
        </row>
        <row r="163">
          <cell r="A163">
            <v>46180</v>
          </cell>
          <cell r="H163">
            <v>3783</v>
          </cell>
          <cell r="K163">
            <v>1502449</v>
          </cell>
        </row>
        <row r="164">
          <cell r="A164">
            <v>46181</v>
          </cell>
          <cell r="H164">
            <v>5029</v>
          </cell>
          <cell r="K164">
            <v>1804198</v>
          </cell>
        </row>
        <row r="165">
          <cell r="A165">
            <v>46182</v>
          </cell>
          <cell r="H165">
            <v>3953</v>
          </cell>
          <cell r="K165">
            <v>1577213</v>
          </cell>
        </row>
        <row r="166">
          <cell r="A166">
            <v>46183</v>
          </cell>
          <cell r="H166">
            <v>13295</v>
          </cell>
          <cell r="K166">
            <v>1460779</v>
          </cell>
        </row>
        <row r="167">
          <cell r="A167">
            <v>46184</v>
          </cell>
          <cell r="H167">
            <v>4577</v>
          </cell>
          <cell r="K167">
            <v>1503909</v>
          </cell>
        </row>
        <row r="168">
          <cell r="A168">
            <v>46185</v>
          </cell>
          <cell r="H168">
            <v>9361</v>
          </cell>
          <cell r="K168">
            <v>1729234</v>
          </cell>
        </row>
        <row r="169">
          <cell r="A169">
            <v>46186</v>
          </cell>
          <cell r="H169">
            <v>5427</v>
          </cell>
          <cell r="K169">
            <v>1478136</v>
          </cell>
        </row>
        <row r="170">
          <cell r="A170">
            <v>46187</v>
          </cell>
          <cell r="H170">
            <v>3039</v>
          </cell>
          <cell r="K170">
            <v>1316017</v>
          </cell>
        </row>
        <row r="171">
          <cell r="A171">
            <v>46188</v>
          </cell>
          <cell r="H171">
            <v>3421</v>
          </cell>
          <cell r="K171">
            <v>1519402</v>
          </cell>
        </row>
        <row r="172">
          <cell r="A172">
            <v>46189</v>
          </cell>
          <cell r="H172">
            <v>5964</v>
          </cell>
          <cell r="K172">
            <v>1479605</v>
          </cell>
        </row>
        <row r="173">
          <cell r="A173">
            <v>46190</v>
          </cell>
          <cell r="H173">
            <v>5687</v>
          </cell>
          <cell r="K173">
            <v>1448346</v>
          </cell>
        </row>
        <row r="174">
          <cell r="A174">
            <v>46191</v>
          </cell>
          <cell r="H174">
            <v>5737</v>
          </cell>
          <cell r="K174">
            <v>1512447</v>
          </cell>
        </row>
        <row r="175">
          <cell r="A175">
            <v>46192</v>
          </cell>
          <cell r="H175">
            <v>6028</v>
          </cell>
          <cell r="K175">
            <v>1473688</v>
          </cell>
        </row>
        <row r="176">
          <cell r="A176">
            <v>46193</v>
          </cell>
          <cell r="H176">
            <v>3324</v>
          </cell>
          <cell r="K176">
            <v>1547305</v>
          </cell>
        </row>
        <row r="177">
          <cell r="A177">
            <v>46194</v>
          </cell>
          <cell r="H177">
            <v>2204</v>
          </cell>
          <cell r="K177">
            <v>1404278</v>
          </cell>
        </row>
        <row r="178">
          <cell r="A178">
            <v>46195</v>
          </cell>
          <cell r="H178">
            <v>6726</v>
          </cell>
          <cell r="K178">
            <v>1637943</v>
          </cell>
        </row>
        <row r="179">
          <cell r="A179">
            <v>46196</v>
          </cell>
          <cell r="H179">
            <v>5253</v>
          </cell>
          <cell r="K179">
            <v>1595042</v>
          </cell>
        </row>
        <row r="180">
          <cell r="A180">
            <v>46197</v>
          </cell>
          <cell r="H180">
            <v>6460</v>
          </cell>
          <cell r="K180">
            <v>1497549</v>
          </cell>
        </row>
        <row r="181">
          <cell r="A181">
            <v>46198</v>
          </cell>
          <cell r="H181">
            <v>11057</v>
          </cell>
          <cell r="K181">
            <v>1614533</v>
          </cell>
        </row>
        <row r="182">
          <cell r="A182">
            <v>46199</v>
          </cell>
          <cell r="H182">
            <v>8061</v>
          </cell>
          <cell r="K182">
            <v>1497589</v>
          </cell>
        </row>
        <row r="183">
          <cell r="A183">
            <v>46200</v>
          </cell>
          <cell r="H183">
            <v>7092</v>
          </cell>
          <cell r="K183">
            <v>1593718</v>
          </cell>
        </row>
        <row r="184">
          <cell r="A184">
            <v>46201</v>
          </cell>
          <cell r="H184">
            <v>3187</v>
          </cell>
          <cell r="K184">
            <v>1507417</v>
          </cell>
        </row>
        <row r="185">
          <cell r="A185">
            <v>46202</v>
          </cell>
          <cell r="H185">
            <v>4963</v>
          </cell>
          <cell r="K185">
            <v>1625294</v>
          </cell>
        </row>
        <row r="186">
          <cell r="A186">
            <v>46203</v>
          </cell>
          <cell r="H186">
            <v>5703</v>
          </cell>
          <cell r="K186">
            <v>1790984</v>
          </cell>
        </row>
        <row r="187">
          <cell r="A187">
            <v>46204</v>
          </cell>
          <cell r="H187">
            <v>6059</v>
          </cell>
          <cell r="K187">
            <v>1665598</v>
          </cell>
        </row>
        <row r="188">
          <cell r="A188">
            <v>46205</v>
          </cell>
          <cell r="H188">
            <v>4856</v>
          </cell>
          <cell r="K188">
            <v>1674518</v>
          </cell>
        </row>
        <row r="189">
          <cell r="A189">
            <v>46206</v>
          </cell>
          <cell r="H189">
            <v>5572</v>
          </cell>
          <cell r="K189">
            <v>1748350</v>
          </cell>
        </row>
        <row r="190">
          <cell r="A190">
            <v>46207</v>
          </cell>
          <cell r="H190">
            <v>3859</v>
          </cell>
          <cell r="K190">
            <v>1619610</v>
          </cell>
        </row>
        <row r="191">
          <cell r="A191">
            <v>46208</v>
          </cell>
          <cell r="H191">
            <v>4596</v>
          </cell>
          <cell r="K191">
            <v>1626593</v>
          </cell>
        </row>
        <row r="192">
          <cell r="A192">
            <v>46209</v>
          </cell>
          <cell r="H192">
            <v>5476</v>
          </cell>
          <cell r="K192">
            <v>2040925</v>
          </cell>
        </row>
        <row r="193">
          <cell r="A193">
            <v>46210</v>
          </cell>
          <cell r="H193">
            <v>4821</v>
          </cell>
          <cell r="K193">
            <v>1919678</v>
          </cell>
        </row>
        <row r="194">
          <cell r="A194">
            <v>46211</v>
          </cell>
          <cell r="H194">
            <v>24910</v>
          </cell>
          <cell r="K194">
            <v>1838889</v>
          </cell>
        </row>
        <row r="195">
          <cell r="A195">
            <v>46212</v>
          </cell>
          <cell r="H195">
            <v>27940</v>
          </cell>
          <cell r="K195">
            <v>1718497</v>
          </cell>
        </row>
        <row r="196">
          <cell r="A196">
            <v>46213</v>
          </cell>
          <cell r="H196">
            <v>15348</v>
          </cell>
          <cell r="K196">
            <v>1708158</v>
          </cell>
        </row>
        <row r="197">
          <cell r="A197">
            <v>46214</v>
          </cell>
          <cell r="H197">
            <v>7978</v>
          </cell>
          <cell r="K197">
            <v>1537502</v>
          </cell>
        </row>
        <row r="198">
          <cell r="A198">
            <v>46215</v>
          </cell>
          <cell r="H198">
            <v>9643</v>
          </cell>
          <cell r="K198">
            <v>1699481</v>
          </cell>
        </row>
        <row r="199">
          <cell r="A199">
            <v>46216</v>
          </cell>
          <cell r="H199">
            <v>11610</v>
          </cell>
          <cell r="K199">
            <v>1499849</v>
          </cell>
        </row>
        <row r="200">
          <cell r="A200">
            <v>46217</v>
          </cell>
          <cell r="H200">
            <v>12200</v>
          </cell>
          <cell r="K200">
            <v>1597903</v>
          </cell>
        </row>
        <row r="201">
          <cell r="A201">
            <v>46218</v>
          </cell>
          <cell r="H201">
            <v>8606</v>
          </cell>
          <cell r="K201">
            <v>1624448</v>
          </cell>
        </row>
        <row r="202">
          <cell r="A202">
            <v>46219</v>
          </cell>
          <cell r="H202">
            <v>5502</v>
          </cell>
          <cell r="K202">
            <v>1699709</v>
          </cell>
        </row>
        <row r="203">
          <cell r="A203">
            <v>46220</v>
          </cell>
          <cell r="H203">
            <v>5508</v>
          </cell>
          <cell r="K203">
            <v>1398618</v>
          </cell>
        </row>
        <row r="204">
          <cell r="A204">
            <v>46221</v>
          </cell>
          <cell r="H204">
            <v>4736</v>
          </cell>
          <cell r="K204">
            <v>1308445</v>
          </cell>
        </row>
        <row r="205">
          <cell r="A205">
            <v>46222</v>
          </cell>
          <cell r="H205">
            <v>3433</v>
          </cell>
          <cell r="K205">
            <v>1446828</v>
          </cell>
        </row>
        <row r="206">
          <cell r="A206">
            <v>46223</v>
          </cell>
          <cell r="H206">
            <v>4077</v>
          </cell>
          <cell r="K206">
            <v>1822054</v>
          </cell>
        </row>
        <row r="207">
          <cell r="A207">
            <v>46224</v>
          </cell>
          <cell r="H207">
            <v>5646</v>
          </cell>
          <cell r="K207">
            <v>1474915</v>
          </cell>
        </row>
        <row r="208">
          <cell r="A208">
            <v>46225</v>
          </cell>
          <cell r="H208">
            <v>4162</v>
          </cell>
          <cell r="K208">
            <v>1540901</v>
          </cell>
        </row>
        <row r="209">
          <cell r="A209">
            <v>46226</v>
          </cell>
          <cell r="H209">
            <v>6554</v>
          </cell>
          <cell r="K209">
            <v>1680482</v>
          </cell>
        </row>
        <row r="210">
          <cell r="A210">
            <v>46227</v>
          </cell>
          <cell r="H210">
            <v>6289</v>
          </cell>
          <cell r="K210">
            <v>1522346</v>
          </cell>
        </row>
        <row r="211">
          <cell r="A211">
            <v>46228</v>
          </cell>
          <cell r="H211">
            <v>4541</v>
          </cell>
          <cell r="K211">
            <v>1312251</v>
          </cell>
        </row>
        <row r="212">
          <cell r="A212">
            <v>46229</v>
          </cell>
          <cell r="H212">
            <v>3341</v>
          </cell>
          <cell r="K212">
            <v>1223546</v>
          </cell>
        </row>
        <row r="213">
          <cell r="A213">
            <v>46230</v>
          </cell>
          <cell r="H213">
            <v>3677</v>
          </cell>
          <cell r="K213">
            <v>1471197</v>
          </cell>
        </row>
        <row r="214">
          <cell r="A214">
            <v>46231</v>
          </cell>
          <cell r="H214">
            <v>3503</v>
          </cell>
          <cell r="K214">
            <v>1417828</v>
          </cell>
        </row>
        <row r="215">
          <cell r="A215">
            <v>46232</v>
          </cell>
          <cell r="H215">
            <v>5092</v>
          </cell>
          <cell r="K215">
            <v>1374221</v>
          </cell>
        </row>
        <row r="216">
          <cell r="A216">
            <v>46233</v>
          </cell>
          <cell r="H216">
            <v>7420</v>
          </cell>
          <cell r="K216">
            <v>1479787</v>
          </cell>
        </row>
        <row r="217">
          <cell r="A217">
            <v>46234</v>
          </cell>
          <cell r="H217">
            <v>5132</v>
          </cell>
          <cell r="K217">
            <v>1354611</v>
          </cell>
        </row>
        <row r="218">
          <cell r="A218">
            <v>46235</v>
          </cell>
          <cell r="H218">
            <v>7172</v>
          </cell>
          <cell r="K218">
            <v>1111066</v>
          </cell>
        </row>
        <row r="219">
          <cell r="A219">
            <v>46236</v>
          </cell>
          <cell r="H219">
            <v>9043</v>
          </cell>
          <cell r="K219">
            <v>1065340</v>
          </cell>
        </row>
        <row r="220">
          <cell r="A220">
            <v>46237</v>
          </cell>
          <cell r="H220">
            <v>10946</v>
          </cell>
          <cell r="K220">
            <v>1297464</v>
          </cell>
        </row>
        <row r="221">
          <cell r="A221">
            <v>46238</v>
          </cell>
          <cell r="H221">
            <v>10911</v>
          </cell>
          <cell r="K221">
            <v>1404643</v>
          </cell>
        </row>
        <row r="222">
          <cell r="A222">
            <v>46239</v>
          </cell>
          <cell r="H222">
            <v>10001</v>
          </cell>
          <cell r="K222">
            <v>1291857</v>
          </cell>
        </row>
        <row r="223">
          <cell r="A223">
            <v>46240</v>
          </cell>
          <cell r="H223">
            <v>22404</v>
          </cell>
          <cell r="K223">
            <v>1255942</v>
          </cell>
        </row>
        <row r="224">
          <cell r="A224">
            <v>46241</v>
          </cell>
          <cell r="H224">
            <v>7067</v>
          </cell>
          <cell r="K224">
            <v>1205134</v>
          </cell>
        </row>
        <row r="225">
          <cell r="A225">
            <v>46242</v>
          </cell>
          <cell r="H225">
            <v>4745</v>
          </cell>
          <cell r="K225">
            <v>1029048</v>
          </cell>
        </row>
        <row r="226">
          <cell r="A226">
            <v>46243</v>
          </cell>
          <cell r="H226">
            <v>3802</v>
          </cell>
          <cell r="K226">
            <v>916726</v>
          </cell>
        </row>
        <row r="227">
          <cell r="A227">
            <v>46244</v>
          </cell>
          <cell r="H227">
            <v>5012</v>
          </cell>
          <cell r="K227">
            <v>1000675</v>
          </cell>
        </row>
        <row r="228">
          <cell r="A228">
            <v>46245</v>
          </cell>
          <cell r="H228">
            <v>5089</v>
          </cell>
          <cell r="K228">
            <v>997769</v>
          </cell>
        </row>
        <row r="229">
          <cell r="A229">
            <v>46246</v>
          </cell>
          <cell r="H229">
            <v>3699</v>
          </cell>
          <cell r="K229">
            <v>1014551</v>
          </cell>
        </row>
        <row r="230">
          <cell r="A230">
            <v>46247</v>
          </cell>
          <cell r="H230">
            <v>3866</v>
          </cell>
          <cell r="K230">
            <v>1030886</v>
          </cell>
        </row>
        <row r="231">
          <cell r="A231">
            <v>46248</v>
          </cell>
          <cell r="H231">
            <v>2536</v>
          </cell>
          <cell r="K231">
            <v>921261</v>
          </cell>
        </row>
        <row r="232">
          <cell r="A232">
            <v>46249</v>
          </cell>
          <cell r="H232">
            <v>3173</v>
          </cell>
          <cell r="K232">
            <v>894305</v>
          </cell>
        </row>
        <row r="233">
          <cell r="A233">
            <v>46250</v>
          </cell>
          <cell r="H233">
            <v>2248</v>
          </cell>
          <cell r="K233">
            <v>875521</v>
          </cell>
        </row>
        <row r="234">
          <cell r="A234">
            <v>46251</v>
          </cell>
          <cell r="H234">
            <v>8607</v>
          </cell>
          <cell r="K234">
            <v>938398</v>
          </cell>
        </row>
        <row r="235">
          <cell r="A235">
            <v>46252</v>
          </cell>
          <cell r="H235">
            <v>20811</v>
          </cell>
          <cell r="K235">
            <v>958189</v>
          </cell>
        </row>
        <row r="236">
          <cell r="A236">
            <v>46253</v>
          </cell>
          <cell r="H236">
            <v>23815</v>
          </cell>
          <cell r="K236">
            <v>1166635</v>
          </cell>
        </row>
        <row r="237">
          <cell r="A237">
            <v>46254</v>
          </cell>
          <cell r="H237">
            <v>8031</v>
          </cell>
          <cell r="K237">
            <v>1014522</v>
          </cell>
        </row>
        <row r="238">
          <cell r="A238">
            <v>46255</v>
          </cell>
          <cell r="H238">
            <v>26908</v>
          </cell>
          <cell r="K238">
            <v>1024197</v>
          </cell>
        </row>
        <row r="239">
          <cell r="A239">
            <v>46256</v>
          </cell>
          <cell r="H239">
            <v>18516</v>
          </cell>
          <cell r="K239">
            <v>1104999</v>
          </cell>
        </row>
        <row r="240">
          <cell r="A240">
            <v>46257</v>
          </cell>
          <cell r="H240">
            <v>25824</v>
          </cell>
          <cell r="K240">
            <v>1016382</v>
          </cell>
        </row>
        <row r="241">
          <cell r="A241">
            <v>46258</v>
          </cell>
          <cell r="H241">
            <v>24819</v>
          </cell>
          <cell r="K241">
            <v>1044648</v>
          </cell>
        </row>
        <row r="242">
          <cell r="A242">
            <v>46259</v>
          </cell>
          <cell r="H242">
            <v>27470</v>
          </cell>
          <cell r="K242">
            <v>1123412</v>
          </cell>
        </row>
        <row r="243">
          <cell r="A243">
            <v>46260</v>
          </cell>
          <cell r="H243">
            <v>29711</v>
          </cell>
          <cell r="K243">
            <v>1190449</v>
          </cell>
        </row>
        <row r="244">
          <cell r="A244">
            <v>46261</v>
          </cell>
          <cell r="H244">
            <v>27309</v>
          </cell>
          <cell r="K244">
            <v>1209002</v>
          </cell>
        </row>
        <row r="245">
          <cell r="A245">
            <v>46262</v>
          </cell>
          <cell r="H245">
            <v>30111</v>
          </cell>
          <cell r="K245">
            <v>942599</v>
          </cell>
        </row>
        <row r="246">
          <cell r="A246">
            <v>46263</v>
          </cell>
          <cell r="H246">
            <v>18231</v>
          </cell>
          <cell r="K246">
            <v>838426</v>
          </cell>
        </row>
        <row r="247">
          <cell r="A247">
            <v>46264</v>
          </cell>
          <cell r="H247">
            <v>7039</v>
          </cell>
          <cell r="K247">
            <v>842298</v>
          </cell>
        </row>
        <row r="248">
          <cell r="A248">
            <v>46265</v>
          </cell>
          <cell r="H248">
            <v>21259</v>
          </cell>
          <cell r="K248">
            <v>878972</v>
          </cell>
        </row>
        <row r="249">
          <cell r="A249">
            <v>46266</v>
          </cell>
          <cell r="H249">
            <v>22177</v>
          </cell>
          <cell r="K249">
            <v>845331</v>
          </cell>
        </row>
        <row r="250">
          <cell r="A250">
            <v>46267</v>
          </cell>
          <cell r="H250">
            <v>23095</v>
          </cell>
          <cell r="K250">
            <v>829171</v>
          </cell>
        </row>
        <row r="251">
          <cell r="A251">
            <v>46268</v>
          </cell>
          <cell r="H251">
            <v>6207</v>
          </cell>
          <cell r="K251">
            <v>990680</v>
          </cell>
        </row>
        <row r="252">
          <cell r="A252">
            <v>46269</v>
          </cell>
          <cell r="H252">
            <v>4303</v>
          </cell>
          <cell r="K252">
            <v>995311</v>
          </cell>
        </row>
        <row r="253">
          <cell r="A253">
            <v>46270</v>
          </cell>
          <cell r="H253">
            <v>2730</v>
          </cell>
          <cell r="K253">
            <v>1043618</v>
          </cell>
        </row>
        <row r="254">
          <cell r="A254">
            <v>46271</v>
          </cell>
          <cell r="H254">
            <v>1468</v>
          </cell>
          <cell r="K254">
            <v>871683</v>
          </cell>
        </row>
        <row r="255">
          <cell r="A255">
            <v>46272</v>
          </cell>
          <cell r="H255">
            <v>1918</v>
          </cell>
          <cell r="K255">
            <v>964331</v>
          </cell>
        </row>
        <row r="256">
          <cell r="A256">
            <v>46273</v>
          </cell>
          <cell r="H256">
            <v>5402</v>
          </cell>
          <cell r="K256">
            <v>892276</v>
          </cell>
        </row>
        <row r="257">
          <cell r="A257">
            <v>46274</v>
          </cell>
          <cell r="H257">
            <v>2429</v>
          </cell>
          <cell r="K257">
            <v>948663</v>
          </cell>
        </row>
        <row r="258">
          <cell r="A258">
            <v>46275</v>
          </cell>
          <cell r="H258">
            <v>4966</v>
          </cell>
          <cell r="K258">
            <v>953212</v>
          </cell>
        </row>
        <row r="259">
          <cell r="A259">
            <v>46276</v>
          </cell>
          <cell r="H259">
            <v>3847</v>
          </cell>
          <cell r="K259">
            <v>884552</v>
          </cell>
        </row>
        <row r="260">
          <cell r="A260">
            <v>46277</v>
          </cell>
          <cell r="H260">
            <v>2293</v>
          </cell>
          <cell r="K260">
            <v>1043522</v>
          </cell>
        </row>
        <row r="261">
          <cell r="A261">
            <v>46278</v>
          </cell>
          <cell r="H261">
            <v>2130</v>
          </cell>
          <cell r="K261">
            <v>840306</v>
          </cell>
        </row>
        <row r="262">
          <cell r="A262">
            <v>46279</v>
          </cell>
          <cell r="H262">
            <v>7753</v>
          </cell>
          <cell r="K262">
            <v>1119696</v>
          </cell>
        </row>
        <row r="263">
          <cell r="A263">
            <v>46280</v>
          </cell>
          <cell r="H263">
            <v>48965</v>
          </cell>
          <cell r="K263">
            <v>1118497</v>
          </cell>
        </row>
        <row r="264">
          <cell r="A264">
            <v>46281</v>
          </cell>
          <cell r="H264">
            <v>35942</v>
          </cell>
          <cell r="K264">
            <v>911931</v>
          </cell>
        </row>
        <row r="265">
          <cell r="A265">
            <v>46282</v>
          </cell>
          <cell r="H265">
            <v>34037</v>
          </cell>
          <cell r="K265">
            <v>923228</v>
          </cell>
        </row>
        <row r="266">
          <cell r="A266">
            <v>46283</v>
          </cell>
          <cell r="H266">
            <v>84152</v>
          </cell>
          <cell r="K266">
            <v>1065175</v>
          </cell>
        </row>
        <row r="267">
          <cell r="A267">
            <v>46284</v>
          </cell>
          <cell r="H267">
            <v>29920</v>
          </cell>
          <cell r="K267">
            <v>881756</v>
          </cell>
        </row>
        <row r="268">
          <cell r="A268">
            <v>46285</v>
          </cell>
          <cell r="H268">
            <v>40343</v>
          </cell>
          <cell r="K268">
            <v>870801</v>
          </cell>
        </row>
        <row r="269">
          <cell r="A269">
            <v>46286</v>
          </cell>
          <cell r="H269">
            <v>42352</v>
          </cell>
          <cell r="K269">
            <v>908334</v>
          </cell>
        </row>
        <row r="270">
          <cell r="A270">
            <v>46287</v>
          </cell>
          <cell r="H270">
            <v>26534</v>
          </cell>
          <cell r="K270">
            <v>966570</v>
          </cell>
        </row>
        <row r="271">
          <cell r="A271">
            <v>46288</v>
          </cell>
          <cell r="H271">
            <v>19844</v>
          </cell>
          <cell r="K271">
            <v>828771</v>
          </cell>
        </row>
        <row r="272">
          <cell r="A272">
            <v>46289</v>
          </cell>
          <cell r="H272">
            <v>23107</v>
          </cell>
          <cell r="K272">
            <v>984491</v>
          </cell>
        </row>
        <row r="273">
          <cell r="A273">
            <v>46290</v>
          </cell>
          <cell r="H273">
            <v>17060</v>
          </cell>
          <cell r="K273">
            <v>864017</v>
          </cell>
        </row>
        <row r="274">
          <cell r="A274">
            <v>46291</v>
          </cell>
          <cell r="H274">
            <v>24529</v>
          </cell>
          <cell r="K274">
            <v>846682</v>
          </cell>
        </row>
        <row r="275">
          <cell r="A275">
            <v>46292</v>
          </cell>
          <cell r="H275">
            <v>22813</v>
          </cell>
          <cell r="K275">
            <v>858253</v>
          </cell>
        </row>
        <row r="276">
          <cell r="A276">
            <v>46293</v>
          </cell>
          <cell r="H276">
            <v>11081</v>
          </cell>
          <cell r="K276">
            <v>846906</v>
          </cell>
        </row>
        <row r="277">
          <cell r="A277">
            <v>46294</v>
          </cell>
          <cell r="H277">
            <v>24713</v>
          </cell>
          <cell r="K277">
            <v>929476</v>
          </cell>
        </row>
        <row r="278">
          <cell r="A278">
            <v>46295</v>
          </cell>
          <cell r="H278">
            <v>15651</v>
          </cell>
          <cell r="K278">
            <v>571518</v>
          </cell>
        </row>
      </sheetData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79CF66-410C-224E-9487-0943BA2FA35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fc43708-1360-4a20-ad50-7868e249bbc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46C9-0765-4C43-AFF1-B5BBB4994481}">
  <dimension ref="A1:M83"/>
  <sheetViews>
    <sheetView tabSelected="1" topLeftCell="A43" workbookViewId="0">
      <pane xSplit="1" topLeftCell="B1" activePane="topRight" state="frozen"/>
      <selection pane="topRight" activeCell="Q25" sqref="Q25"/>
    </sheetView>
  </sheetViews>
  <sheetFormatPr baseColWidth="10" defaultRowHeight="15" x14ac:dyDescent="0.2"/>
  <cols>
    <col min="1" max="1" width="25" customWidth="1"/>
    <col min="2" max="13" width="15.33203125" customWidth="1"/>
  </cols>
  <sheetData>
    <row r="1" spans="1:7" ht="19" x14ac:dyDescent="0.25">
      <c r="A1" s="1" t="s">
        <v>0</v>
      </c>
    </row>
    <row r="2" spans="1:7" x14ac:dyDescent="0.2">
      <c r="A2" s="2" t="s">
        <v>1</v>
      </c>
    </row>
    <row r="4" spans="1:7" x14ac:dyDescent="0.2">
      <c r="A4" s="3" t="s">
        <v>2</v>
      </c>
    </row>
    <row r="5" spans="1:7" x14ac:dyDescent="0.2">
      <c r="A5" t="s">
        <v>3</v>
      </c>
      <c r="C5" s="4">
        <f>DATE(2026,9,1)</f>
        <v>46266</v>
      </c>
    </row>
    <row r="6" spans="1:7" x14ac:dyDescent="0.2">
      <c r="A6" t="s">
        <v>4</v>
      </c>
      <c r="C6" s="5">
        <f>INDEX('[1]Tổng hợp tháng'!$U$4:$U$24,MATCH(C5,'[1]Tổng hợp tháng'!$A$4:$A$24,0))</f>
        <v>29</v>
      </c>
    </row>
    <row r="7" spans="1:7" x14ac:dyDescent="0.2">
      <c r="A7" t="s">
        <v>5</v>
      </c>
      <c r="C7" s="6">
        <f>C5+C6-1</f>
        <v>46294</v>
      </c>
    </row>
    <row r="8" spans="1:7" x14ac:dyDescent="0.2">
      <c r="A8" t="s">
        <v>6</v>
      </c>
      <c r="C8" s="5">
        <f>DAY(EOMONTH(C5,0))</f>
        <v>30</v>
      </c>
    </row>
    <row r="9" spans="1:7" x14ac:dyDescent="0.2">
      <c r="A9" t="s">
        <v>7</v>
      </c>
      <c r="C9" s="7">
        <f>SUMIFS('[1]Nguồn truy cập theo ngày'!$H$6:$H$278,'[1]Nguồn truy cập theo ngày'!$A$6:$A$278,"&gt;="&amp;C5,'[1]Nguồn truy cập theo ngày'!$A$6:$A$278,"&lt;="&amp;C7)/SUMIFS('[1]Nguồn truy cập theo ngày'!$K$6:$K$278,'[1]Nguồn truy cập theo ngày'!$A$6:$A$278,"&gt;="&amp;C5,'[1]Nguồn truy cập theo ngày'!$A$6:$A$278,"&lt;="&amp;C7)</f>
        <v>2.1315902030691999E-2</v>
      </c>
    </row>
    <row r="10" spans="1:7" x14ac:dyDescent="0.2">
      <c r="A10" t="s">
        <v>8</v>
      </c>
      <c r="C10" s="7">
        <f>SUMIFS('[1]Nguồn truy cập theo ngày'!$H$6:$H$278,'[1]Nguồn truy cập theo ngày'!$A$6:$A$278,"&gt;="&amp;C5,'[1]Nguồn truy cập theo ngày'!$A$6:$A$278,"&lt;="&amp;C7)/SUMIFS('[1]Tổng truy cập theo ngày'!$C$6:$C$278,'[1]Tổng truy cập theo ngày'!$A$6:$A$278,"&gt;="&amp;C5,'[1]Tổng truy cập theo ngày'!$A$6:$A$278,"&lt;="&amp;C7)</f>
        <v>1.2160391449314084E-2</v>
      </c>
    </row>
    <row r="11" spans="1:7" x14ac:dyDescent="0.2">
      <c r="A11" t="s">
        <v>9</v>
      </c>
      <c r="C11" s="8">
        <v>0.05</v>
      </c>
    </row>
    <row r="12" spans="1:7" x14ac:dyDescent="0.2">
      <c r="A12" t="s">
        <v>10</v>
      </c>
      <c r="C12" s="8">
        <v>0.15</v>
      </c>
    </row>
    <row r="13" spans="1:7" x14ac:dyDescent="0.2">
      <c r="A13" t="s">
        <v>11</v>
      </c>
      <c r="C13" s="9" t="s">
        <v>12</v>
      </c>
    </row>
    <row r="15" spans="1:7" x14ac:dyDescent="0.2">
      <c r="A15" s="3" t="s">
        <v>13</v>
      </c>
    </row>
    <row r="16" spans="1:7" ht="45" customHeight="1" x14ac:dyDescent="0.2">
      <c r="A16" s="10" t="s">
        <v>14</v>
      </c>
      <c r="B16" s="10" t="str">
        <f>"T9 thực tế ("&amp;TEXT($C$5,"dd/mm")&amp;"–"&amp;TEXT($C$7,"dd/mm")&amp;")"</f>
        <v>T9 thực tế (01/09–29/09)</v>
      </c>
      <c r="C16" s="10" t="str">
        <f>"T9 quy đổi đủ "&amp;$C$8&amp;" ngày"</f>
        <v>T9 quy đổi đủ 30 ngày</v>
      </c>
      <c r="D16" s="10" t="str">
        <f>"Sau trừ Zalo thực tế ("&amp;TEXT($C$9,"0.0%")&amp;")"</f>
        <v>Sau trừ Zalo thực tế (2.1%)</v>
      </c>
      <c r="E16" s="10" t="str">
        <f>"Sau trừ Zalo giả định ("&amp;TEXT($C$11,"0%")&amp;")"</f>
        <v>Sau trừ Zalo giả định (5%)</v>
      </c>
      <c r="F16" s="10" t="s">
        <v>15</v>
      </c>
      <c r="G16" s="10" t="s">
        <v>16</v>
      </c>
    </row>
    <row r="17" spans="1:7" x14ac:dyDescent="0.2">
      <c r="A17" s="11" t="s">
        <v>17</v>
      </c>
      <c r="B17" s="12">
        <f>INDEX('[1]Tổng hợp tháng'!$B$4:$T$24,MATCH($C$5,'[1]Tổng hợp tháng'!$A$4:$A$24,0),MATCH($A17,'[1]Tổng hợp tháng'!$B$3:$T$3,0))</f>
        <v>4799355</v>
      </c>
      <c r="C17" s="13">
        <f>B17/$C$6*$C$8</f>
        <v>4964850</v>
      </c>
      <c r="D17" s="13">
        <f>C17*(1-$C$9)</f>
        <v>4859019.7438029191</v>
      </c>
      <c r="E17" s="13">
        <f>C17*(1-$C$11)</f>
        <v>4716607.5</v>
      </c>
      <c r="F17" s="13">
        <f>C17-D17</f>
        <v>105830.25619708095</v>
      </c>
      <c r="G17" s="13">
        <f>C17-E17</f>
        <v>248242.5</v>
      </c>
    </row>
    <row r="18" spans="1:7" x14ac:dyDescent="0.2">
      <c r="A18" s="14" t="s">
        <v>18</v>
      </c>
      <c r="B18" s="15">
        <f>INDEX('[1]Tổng hợp tháng'!$B$4:$T$24,MATCH($C$5,'[1]Tổng hợp tháng'!$A$4:$A$24,0),MATCH($A18,'[1]Tổng hợp tháng'!$B$3:$T$3,0))</f>
        <v>1810244</v>
      </c>
      <c r="C18" s="16">
        <f>B18/$C$6*$C$8</f>
        <v>1872666.2068965517</v>
      </c>
      <c r="D18" s="16">
        <f>C18*(1-$C$9)</f>
        <v>1832748.6374941571</v>
      </c>
      <c r="E18" s="16">
        <f>C18*(1-$C$11)</f>
        <v>1779032.8965517241</v>
      </c>
      <c r="F18" s="16">
        <f>C18-D18</f>
        <v>39917.569402394583</v>
      </c>
      <c r="G18" s="16">
        <f>C18-E18</f>
        <v>93633.310344827594</v>
      </c>
    </row>
    <row r="19" spans="1:7" x14ac:dyDescent="0.2">
      <c r="A19" s="14" t="s">
        <v>19</v>
      </c>
      <c r="B19" s="15">
        <f>INDEX('[1]Tổng hợp tháng'!$B$4:$T$24,MATCH($C$5,'[1]Tổng hợp tháng'!$A$4:$A$24,0),MATCH($A19,'[1]Tổng hợp tháng'!$B$3:$T$3,0))</f>
        <v>1098510</v>
      </c>
      <c r="C19" s="16">
        <f>B19/$C$6*$C$8</f>
        <v>1136389.6551724137</v>
      </c>
      <c r="D19" s="16">
        <f>C19*(1-$C$9)</f>
        <v>1112166.4846140665</v>
      </c>
      <c r="E19" s="16">
        <f>C19*(1-$C$11)</f>
        <v>1079570.1724137929</v>
      </c>
      <c r="F19" s="16">
        <f>C19-D19</f>
        <v>24223.170558347134</v>
      </c>
      <c r="G19" s="16">
        <f>C19-E19</f>
        <v>56819.482758620754</v>
      </c>
    </row>
    <row r="20" spans="1:7" x14ac:dyDescent="0.2">
      <c r="A20" s="14" t="s">
        <v>20</v>
      </c>
      <c r="B20" s="15">
        <f>INDEX('[1]Tổng hợp tháng'!$B$4:$T$24,MATCH($C$5,'[1]Tổng hợp tháng'!$A$4:$A$24,0),MATCH($A20,'[1]Tổng hợp tháng'!$B$3:$T$3,0))</f>
        <v>834178</v>
      </c>
      <c r="C20" s="16">
        <f>B20/$C$6*$C$8</f>
        <v>862942.75862068962</v>
      </c>
      <c r="D20" s="16">
        <f>C20*(1-$C$9)</f>
        <v>844548.35531983594</v>
      </c>
      <c r="E20" s="16">
        <f>C20*(1-$C$11)</f>
        <v>819795.62068965507</v>
      </c>
      <c r="F20" s="16">
        <f>C20-D20</f>
        <v>18394.403300853679</v>
      </c>
      <c r="G20" s="16">
        <f>C20-E20</f>
        <v>43147.137931034551</v>
      </c>
    </row>
    <row r="21" spans="1:7" x14ac:dyDescent="0.2">
      <c r="A21" s="14" t="s">
        <v>21</v>
      </c>
      <c r="B21" s="15">
        <f>INDEX('[1]Tổng hợp tháng'!$B$4:$T$24,MATCH($C$5,'[1]Tổng hợp tháng'!$A$4:$A$24,0),MATCH($A21,'[1]Tổng hợp tháng'!$B$3:$T$3,0))</f>
        <v>1056423</v>
      </c>
      <c r="C21" s="16">
        <f>B21/$C$6*$C$8</f>
        <v>1092851.3793103448</v>
      </c>
      <c r="D21" s="16">
        <f>C21*(1-$C$9)</f>
        <v>1069556.2663748588</v>
      </c>
      <c r="E21" s="16">
        <f>C21*(1-$C$11)</f>
        <v>1038208.8103448275</v>
      </c>
      <c r="F21" s="16">
        <f>C21-D21</f>
        <v>23295.112935486017</v>
      </c>
      <c r="G21" s="16">
        <f>C21-E21</f>
        <v>54642.568965517334</v>
      </c>
    </row>
    <row r="22" spans="1:7" x14ac:dyDescent="0.2">
      <c r="A22" s="11" t="s">
        <v>22</v>
      </c>
      <c r="B22" s="12">
        <f>INDEX('[1]Tổng hợp tháng'!$B$4:$T$24,MATCH($C$5,'[1]Tổng hợp tháng'!$A$4:$A$24,0),MATCH($A22,'[1]Tổng hợp tháng'!$B$3:$T$3,0))</f>
        <v>5890857</v>
      </c>
      <c r="C22" s="13">
        <f>B22/$C$6*$C$8</f>
        <v>6093990</v>
      </c>
      <c r="D22" s="13">
        <f>C22*(1-$C$9)</f>
        <v>5964091.1061839834</v>
      </c>
      <c r="E22" s="13">
        <f>C22*(1-$C$11)</f>
        <v>5789290.5</v>
      </c>
      <c r="F22" s="13">
        <f>C22-D22</f>
        <v>129898.89381601661</v>
      </c>
      <c r="G22" s="13">
        <f>C22-E22</f>
        <v>304699.5</v>
      </c>
    </row>
    <row r="23" spans="1:7" x14ac:dyDescent="0.2">
      <c r="A23" s="14" t="s">
        <v>23</v>
      </c>
      <c r="B23" s="15">
        <f>INDEX('[1]Tổng hợp tháng'!$B$4:$T$24,MATCH($C$5,'[1]Tổng hợp tháng'!$A$4:$A$24,0),MATCH($A23,'[1]Tổng hợp tháng'!$B$3:$T$3,0))</f>
        <v>3425746</v>
      </c>
      <c r="C23" s="16">
        <f>B23/$C$6*$C$8</f>
        <v>3543875.1724137929</v>
      </c>
      <c r="D23" s="16">
        <f>C23*(1-$C$9)</f>
        <v>3468334.2764296187</v>
      </c>
      <c r="E23" s="16">
        <f>C23*(1-$C$11)</f>
        <v>3366681.4137931033</v>
      </c>
      <c r="F23" s="16">
        <f>C23-D23</f>
        <v>75540.895984174218</v>
      </c>
      <c r="G23" s="16">
        <f>C23-E23</f>
        <v>177193.75862068962</v>
      </c>
    </row>
    <row r="24" spans="1:7" x14ac:dyDescent="0.2">
      <c r="A24" s="14" t="s">
        <v>24</v>
      </c>
      <c r="B24" s="15">
        <f>INDEX('[1]Tổng hợp tháng'!$B$4:$T$24,MATCH($C$5,'[1]Tổng hợp tháng'!$A$4:$A$24,0),MATCH($A24,'[1]Tổng hợp tháng'!$B$3:$T$3,0))</f>
        <v>1654185</v>
      </c>
      <c r="C24" s="16">
        <f>B24/$C$6*$C$8</f>
        <v>1711225.8620689653</v>
      </c>
      <c r="D24" s="16">
        <f>C24*(1-$C$9)</f>
        <v>1674749.5392407167</v>
      </c>
      <c r="E24" s="16">
        <f>C24*(1-$C$11)</f>
        <v>1625664.568965517</v>
      </c>
      <c r="F24" s="16">
        <f>C24-D24</f>
        <v>36476.322828248609</v>
      </c>
      <c r="G24" s="16">
        <f>C24-E24</f>
        <v>85561.293103448348</v>
      </c>
    </row>
    <row r="25" spans="1:7" x14ac:dyDescent="0.2">
      <c r="A25" s="14" t="s">
        <v>25</v>
      </c>
      <c r="B25" s="15">
        <f>INDEX('[1]Tổng hợp tháng'!$B$4:$T$24,MATCH($C$5,'[1]Tổng hợp tháng'!$A$4:$A$24,0),MATCH($A25,'[1]Tổng hợp tháng'!$B$3:$T$3,0))</f>
        <v>810926</v>
      </c>
      <c r="C25" s="16">
        <f>B25/$C$6*$C$8</f>
        <v>838888.96551724139</v>
      </c>
      <c r="D25" s="16">
        <f>C25*(1-$C$9)</f>
        <v>821007.29051364725</v>
      </c>
      <c r="E25" s="16">
        <f>C25*(1-$C$11)</f>
        <v>796944.51724137925</v>
      </c>
      <c r="F25" s="16">
        <f>C25-D25</f>
        <v>17881.675003594137</v>
      </c>
      <c r="G25" s="16">
        <f>C25-E25</f>
        <v>41944.448275862145</v>
      </c>
    </row>
    <row r="26" spans="1:7" x14ac:dyDescent="0.2">
      <c r="A26" s="11" t="s">
        <v>26</v>
      </c>
      <c r="B26" s="12">
        <f>INDEX('[1]Tổng hợp tháng'!$B$4:$T$24,MATCH($C$5,'[1]Tổng hợp tháng'!$A$4:$A$24,0),MATCH($A26,'[1]Tổng hợp tháng'!$B$3:$T$3,0))</f>
        <v>5510203</v>
      </c>
      <c r="C26" s="13">
        <f>B26/$C$6*$C$8</f>
        <v>5700210</v>
      </c>
      <c r="D26" s="13">
        <f>C26*(1-$C$9)</f>
        <v>5578704.8820856288</v>
      </c>
      <c r="E26" s="13">
        <f>C26*(1-$C$11)</f>
        <v>5415199.5</v>
      </c>
      <c r="F26" s="13">
        <f>C26-D26</f>
        <v>121505.11791437119</v>
      </c>
      <c r="G26" s="13">
        <f>C26-E26</f>
        <v>285010.5</v>
      </c>
    </row>
    <row r="27" spans="1:7" x14ac:dyDescent="0.2">
      <c r="A27" s="14" t="s">
        <v>27</v>
      </c>
      <c r="B27" s="15">
        <f>INDEX('[1]Tổng hợp tháng'!$B$4:$T$24,MATCH($C$5,'[1]Tổng hợp tháng'!$A$4:$A$24,0),MATCH($A27,'[1]Tổng hợp tháng'!$B$3:$T$3,0))</f>
        <v>1729982</v>
      </c>
      <c r="C27" s="16">
        <f>B27/$C$6*$C$8</f>
        <v>1789636.5517241377</v>
      </c>
      <c r="D27" s="16">
        <f>C27*(1-$C$9)</f>
        <v>1751488.8343170406</v>
      </c>
      <c r="E27" s="16">
        <f>C27*(1-$C$11)</f>
        <v>1700154.7241379307</v>
      </c>
      <c r="F27" s="16">
        <f>C27-D27</f>
        <v>38147.717407097109</v>
      </c>
      <c r="G27" s="16">
        <f>C27-E27</f>
        <v>89481.827586207073</v>
      </c>
    </row>
    <row r="28" spans="1:7" x14ac:dyDescent="0.2">
      <c r="A28" s="14" t="s">
        <v>28</v>
      </c>
      <c r="B28" s="15">
        <f>INDEX('[1]Tổng hợp tháng'!$B$4:$T$24,MATCH($C$5,'[1]Tổng hợp tháng'!$A$4:$A$24,0),MATCH($A28,'[1]Tổng hợp tháng'!$B$3:$T$3,0))</f>
        <v>546947</v>
      </c>
      <c r="C28" s="16">
        <f>B28/$C$6*$C$8</f>
        <v>565807.24137931038</v>
      </c>
      <c r="D28" s="16">
        <f>C28*(1-$C$9)</f>
        <v>553746.54965381289</v>
      </c>
      <c r="E28" s="16">
        <f>C28*(1-$C$11)</f>
        <v>537516.87931034481</v>
      </c>
      <c r="F28" s="16">
        <f>C28-D28</f>
        <v>12060.691725497483</v>
      </c>
      <c r="G28" s="16">
        <f>C28-E28</f>
        <v>28290.362068965565</v>
      </c>
    </row>
    <row r="29" spans="1:7" x14ac:dyDescent="0.2">
      <c r="A29" s="14" t="s">
        <v>29</v>
      </c>
      <c r="B29" s="15">
        <f>INDEX('[1]Tổng hợp tháng'!$B$4:$T$24,MATCH($C$5,'[1]Tổng hợp tháng'!$A$4:$A$24,0),MATCH($A29,'[1]Tổng hợp tháng'!$B$3:$T$3,0))</f>
        <v>1867371</v>
      </c>
      <c r="C29" s="16">
        <f>B29/$C$6*$C$8</f>
        <v>1931763.1034482759</v>
      </c>
      <c r="D29" s="16">
        <f>C29*(1-$C$9)</f>
        <v>1890585.8303886671</v>
      </c>
      <c r="E29" s="16">
        <f>C29*(1-$C$11)</f>
        <v>1835174.948275862</v>
      </c>
      <c r="F29" s="16">
        <f>C29-D29</f>
        <v>41177.27305960888</v>
      </c>
      <c r="G29" s="16">
        <f>C29-E29</f>
        <v>96588.155172413914</v>
      </c>
    </row>
    <row r="30" spans="1:7" x14ac:dyDescent="0.2">
      <c r="A30" s="14" t="s">
        <v>30</v>
      </c>
      <c r="B30" s="15">
        <f>INDEX('[1]Tổng hợp tháng'!$B$4:$T$24,MATCH($C$5,'[1]Tổng hợp tháng'!$A$4:$A$24,0),MATCH($A30,'[1]Tổng hợp tháng'!$B$3:$T$3,0))</f>
        <v>468847</v>
      </c>
      <c r="C30" s="16">
        <f>B30/$C$6*$C$8</f>
        <v>485014.13793103443</v>
      </c>
      <c r="D30" s="16">
        <f>C30*(1-$C$9)</f>
        <v>474675.62408339599</v>
      </c>
      <c r="E30" s="16">
        <f>C30*(1-$C$11)</f>
        <v>460763.43103448267</v>
      </c>
      <c r="F30" s="16">
        <f>C30-D30</f>
        <v>10338.513847638445</v>
      </c>
      <c r="G30" s="16">
        <f>C30-E30</f>
        <v>24250.706896551768</v>
      </c>
    </row>
    <row r="31" spans="1:7" x14ac:dyDescent="0.2">
      <c r="A31" s="14" t="s">
        <v>31</v>
      </c>
      <c r="B31" s="15">
        <f>INDEX('[1]Tổng hợp tháng'!$B$4:$T$24,MATCH($C$5,'[1]Tổng hợp tháng'!$A$4:$A$24,0),MATCH($A31,'[1]Tổng hợp tháng'!$B$3:$T$3,0))</f>
        <v>897056</v>
      </c>
      <c r="C31" s="16">
        <f>B31/$C$6*$C$8</f>
        <v>927988.96551724139</v>
      </c>
      <c r="D31" s="16">
        <f>C31*(1-$C$9)</f>
        <v>908208.04364271264</v>
      </c>
      <c r="E31" s="16">
        <f>C31*(1-$C$11)</f>
        <v>881589.51724137925</v>
      </c>
      <c r="F31" s="16">
        <f>C31-D31</f>
        <v>19780.921874528751</v>
      </c>
      <c r="G31" s="16">
        <f>C31-E31</f>
        <v>46399.448275862145</v>
      </c>
    </row>
    <row r="32" spans="1:7" x14ac:dyDescent="0.2">
      <c r="A32" s="11" t="s">
        <v>32</v>
      </c>
      <c r="B32" s="12">
        <f>INDEX('[1]Tổng hợp tháng'!$B$4:$T$24,MATCH($C$5,'[1]Tổng hợp tháng'!$A$4:$A$24,0),MATCH($A32,'[1]Tổng hợp tháng'!$B$3:$T$3,0))</f>
        <v>8955313</v>
      </c>
      <c r="C32" s="13">
        <f>B32/$C$6*$C$8</f>
        <v>9264116.8965517227</v>
      </c>
      <c r="D32" s="13">
        <f>C32*(1-$C$9)</f>
        <v>9066643.8883839473</v>
      </c>
      <c r="E32" s="13">
        <f>C32*(1-$C$11)</f>
        <v>8800911.0517241359</v>
      </c>
      <c r="F32" s="13">
        <f>C32-D32</f>
        <v>197473.00816777535</v>
      </c>
      <c r="G32" s="13">
        <f>C32-E32</f>
        <v>463205.84482758678</v>
      </c>
    </row>
    <row r="33" spans="1:7" x14ac:dyDescent="0.2">
      <c r="A33" s="14" t="s">
        <v>33</v>
      </c>
      <c r="B33" s="15">
        <f>INDEX('[1]Tổng hợp tháng'!$B$4:$T$24,MATCH($C$5,'[1]Tổng hợp tháng'!$A$4:$A$24,0),MATCH($A33,'[1]Tổng hợp tháng'!$B$3:$T$3,0))</f>
        <v>6373627</v>
      </c>
      <c r="C33" s="16">
        <f>B33/$C$6*$C$8</f>
        <v>6593407.2413793104</v>
      </c>
      <c r="D33" s="16">
        <f>C33*(1-$C$9)</f>
        <v>6452862.8185736137</v>
      </c>
      <c r="E33" s="16">
        <f>C33*(1-$C$11)</f>
        <v>6263736.8793103443</v>
      </c>
      <c r="F33" s="16">
        <f>C33-D33</f>
        <v>140544.42280569673</v>
      </c>
      <c r="G33" s="16">
        <f>C33-E33</f>
        <v>329670.36206896603</v>
      </c>
    </row>
    <row r="34" spans="1:7" x14ac:dyDescent="0.2">
      <c r="A34" s="14" t="s">
        <v>34</v>
      </c>
      <c r="B34" s="15">
        <f>INDEX('[1]Tổng hợp tháng'!$B$4:$T$24,MATCH($C$5,'[1]Tổng hợp tháng'!$A$4:$A$24,0),MATCH($A34,'[1]Tổng hợp tháng'!$B$3:$T$3,0))</f>
        <v>2581686</v>
      </c>
      <c r="C34" s="16">
        <f>B34/$C$6*$C$8</f>
        <v>2670709.6551724141</v>
      </c>
      <c r="D34" s="16">
        <f>C34*(1-$C$9)</f>
        <v>2613781.0698103355</v>
      </c>
      <c r="E34" s="16">
        <f>C34*(1-$C$11)</f>
        <v>2537174.1724137934</v>
      </c>
      <c r="F34" s="16">
        <f>C34-D34</f>
        <v>56928.585362078622</v>
      </c>
      <c r="G34" s="16">
        <f>C34-E34</f>
        <v>133535.48275862075</v>
      </c>
    </row>
    <row r="35" spans="1:7" x14ac:dyDescent="0.2">
      <c r="A35" s="17" t="s">
        <v>35</v>
      </c>
      <c r="B35" s="18">
        <f>INDEX('[1]Tổng hợp tháng'!$B$4:$T$24,MATCH($C$5,'[1]Tổng hợp tháng'!$A$4:$A$24,0),MATCH($A35,'[1]Tổng hợp tháng'!$B$3:$T$3,0))</f>
        <v>25155728</v>
      </c>
      <c r="C35" s="19">
        <f>B35/$C$6*$C$8</f>
        <v>26023166.896551725</v>
      </c>
      <c r="D35" s="19">
        <f>C35*(1-$C$9)</f>
        <v>25468459.620456479</v>
      </c>
      <c r="E35" s="19">
        <f>C35*(1-$C$11)</f>
        <v>24722008.551724136</v>
      </c>
      <c r="F35" s="19">
        <f>C35-D35</f>
        <v>554707.27609524503</v>
      </c>
      <c r="G35" s="19">
        <f>C35-E35</f>
        <v>1301158.3448275886</v>
      </c>
    </row>
    <row r="38" spans="1:7" x14ac:dyDescent="0.2">
      <c r="A38" s="3" t="str">
        <f>"2. KPI ĐỀ XUẤT THEO THÁNG – mức tăng "&amp;TEXT($C$12,"0%")&amp;", cơ sở: "&amp;$C$13</f>
        <v>2. KPI ĐỀ XUẤT THEO THÁNG – mức tăng 15%, cơ sở: Trừ Zalo thực tế</v>
      </c>
    </row>
    <row r="39" spans="1:7" x14ac:dyDescent="0.2">
      <c r="A39" s="2" t="s">
        <v>36</v>
      </c>
      <c r="B39" s="2"/>
      <c r="C39" s="2">
        <f>DAY(EOMONTH(C40,0))</f>
        <v>31</v>
      </c>
      <c r="D39" s="2">
        <f>DAY(EOMONTH(D40,0))</f>
        <v>30</v>
      </c>
      <c r="E39" s="2">
        <f>DAY(EOMONTH(E40,0))</f>
        <v>31</v>
      </c>
      <c r="F39" s="2">
        <f>SUM(C39:E39)</f>
        <v>92</v>
      </c>
      <c r="G39" s="2"/>
    </row>
    <row r="40" spans="1:7" ht="32" customHeight="1" x14ac:dyDescent="0.2">
      <c r="A40" s="20" t="s">
        <v>14</v>
      </c>
      <c r="B40" s="20" t="s">
        <v>37</v>
      </c>
      <c r="C40" s="21">
        <f>DATE(2026,10,1)</f>
        <v>46296</v>
      </c>
      <c r="D40" s="21">
        <f>EDATE(C40,1)</f>
        <v>46327</v>
      </c>
      <c r="E40" s="21">
        <f>EDATE(D40,1)</f>
        <v>46357</v>
      </c>
      <c r="F40" s="20" t="s">
        <v>38</v>
      </c>
      <c r="G40" s="20" t="s">
        <v>39</v>
      </c>
    </row>
    <row r="41" spans="1:7" x14ac:dyDescent="0.2">
      <c r="A41" s="11" t="str">
        <f>A17</f>
        <v>Khối Uy tín</v>
      </c>
      <c r="B41" s="13">
        <f>CHOOSE(MATCH($C$13,{"Gốc","Trừ Zalo thực tế","Trừ 5% Zalo"},0),C17,D17,E17)/$C$8</f>
        <v>161967.32479343063</v>
      </c>
      <c r="C41" s="13">
        <f>$B41*C$39*(1+$C$12)</f>
        <v>5774135.128885801</v>
      </c>
      <c r="D41" s="13">
        <f>$B41*D$39*(1+$C$12)</f>
        <v>5587872.7053733561</v>
      </c>
      <c r="E41" s="13">
        <f>$B41*E$39*(1+$C$12)</f>
        <v>5774135.128885801</v>
      </c>
      <c r="F41" s="13">
        <f>SUM(C41:E41)</f>
        <v>17136142.963144958</v>
      </c>
      <c r="G41" s="13">
        <f>F41/3</f>
        <v>5712047.6543816524</v>
      </c>
    </row>
    <row r="42" spans="1:7" x14ac:dyDescent="0.2">
      <c r="A42" s="14" t="str">
        <f>A18</f>
        <v>Xã hội</v>
      </c>
      <c r="B42" s="16">
        <f>CHOOSE(MATCH($C$13,{"Gốc","Trừ Zalo thực tế","Trừ 5% Zalo"},0),C18,D18,E18)/$C$8</f>
        <v>61091.621249805234</v>
      </c>
      <c r="C42" s="16">
        <f>$B42*C$39*(1+$C$12)</f>
        <v>2177916.2975555565</v>
      </c>
      <c r="D42" s="16">
        <f>$B42*D$39*(1+$C$12)</f>
        <v>2107660.9331182805</v>
      </c>
      <c r="E42" s="16">
        <f>$B42*E$39*(1+$C$12)</f>
        <v>2177916.2975555565</v>
      </c>
      <c r="F42" s="16">
        <f>SUM(C42:E42)</f>
        <v>6463493.5282293931</v>
      </c>
      <c r="G42" s="16">
        <f>F42/3</f>
        <v>2154497.8427431309</v>
      </c>
    </row>
    <row r="43" spans="1:7" x14ac:dyDescent="0.2">
      <c r="A43" s="14" t="str">
        <f>A19</f>
        <v>Pháp luật</v>
      </c>
      <c r="B43" s="16">
        <f>CHOOSE(MATCH($C$13,{"Gốc","Trừ Zalo thực tế","Trừ 5% Zalo"},0),C19,D19,E19)/$C$8</f>
        <v>37072.216153802219</v>
      </c>
      <c r="C43" s="16">
        <f>$B43*C$39*(1+$C$12)</f>
        <v>1321624.5058830492</v>
      </c>
      <c r="D43" s="16">
        <f>$B43*D$39*(1+$C$12)</f>
        <v>1278991.4573061764</v>
      </c>
      <c r="E43" s="16">
        <f>$B43*E$39*(1+$C$12)</f>
        <v>1321624.5058830492</v>
      </c>
      <c r="F43" s="16">
        <f>SUM(C43:E43)</f>
        <v>3922240.4690722749</v>
      </c>
      <c r="G43" s="16">
        <f>F43/3</f>
        <v>1307413.4896907583</v>
      </c>
    </row>
    <row r="44" spans="1:7" x14ac:dyDescent="0.2">
      <c r="A44" s="14" t="str">
        <f>A20</f>
        <v>Thế giới</v>
      </c>
      <c r="B44" s="16">
        <f>CHOOSE(MATCH($C$13,{"Gốc","Trừ Zalo thực tế","Trừ 5% Zalo"},0),C20,D20,E20)/$C$8</f>
        <v>28151.611843994531</v>
      </c>
      <c r="C44" s="16">
        <f>$B44*C$39*(1+$C$12)</f>
        <v>1003604.9622384049</v>
      </c>
      <c r="D44" s="16">
        <f>$B44*D$39*(1+$C$12)</f>
        <v>971230.60861781123</v>
      </c>
      <c r="E44" s="16">
        <f>$B44*E$39*(1+$C$12)</f>
        <v>1003604.9622384049</v>
      </c>
      <c r="F44" s="16">
        <f>SUM(C44:E44)</f>
        <v>2978440.5330946213</v>
      </c>
      <c r="G44" s="16">
        <f>F44/3</f>
        <v>992813.51103154046</v>
      </c>
    </row>
    <row r="45" spans="1:7" x14ac:dyDescent="0.2">
      <c r="A45" s="14" t="str">
        <f>A21</f>
        <v>Xuất bản</v>
      </c>
      <c r="B45" s="16">
        <f>CHOOSE(MATCH($C$13,{"Gốc","Trừ Zalo thực tế","Trừ 5% Zalo"},0),C21,D21,E21)/$C$8</f>
        <v>35651.875545828625</v>
      </c>
      <c r="C45" s="16">
        <f>$B45*C$39*(1+$C$12)</f>
        <v>1270989.3632087903</v>
      </c>
      <c r="D45" s="16">
        <f>$B45*D$39*(1+$C$12)</f>
        <v>1229989.7063310875</v>
      </c>
      <c r="E45" s="16">
        <f>$B45*E$39*(1+$C$12)</f>
        <v>1270989.3632087903</v>
      </c>
      <c r="F45" s="16">
        <f>SUM(C45:E45)</f>
        <v>3771968.4327486679</v>
      </c>
      <c r="G45" s="16">
        <f>F45/3</f>
        <v>1257322.8109162226</v>
      </c>
    </row>
    <row r="46" spans="1:7" x14ac:dyDescent="0.2">
      <c r="A46" s="11" t="str">
        <f>A22</f>
        <v>Khối Kinh doanh</v>
      </c>
      <c r="B46" s="13">
        <f>CHOOSE(MATCH($C$13,{"Gốc","Trừ Zalo thực tế","Trừ 5% Zalo"},0),C22,D22,E22)/$C$8</f>
        <v>198803.03687279945</v>
      </c>
      <c r="C46" s="13">
        <f>$B46*C$39*(1+$C$12)</f>
        <v>7087328.2645152994</v>
      </c>
      <c r="D46" s="13">
        <f>$B46*D$39*(1+$C$12)</f>
        <v>6858704.7721115807</v>
      </c>
      <c r="E46" s="13">
        <f>$B46*E$39*(1+$C$12)</f>
        <v>7087328.2645152994</v>
      </c>
      <c r="F46" s="13">
        <f>SUM(C46:E46)</f>
        <v>21033361.301142178</v>
      </c>
      <c r="G46" s="13">
        <f>F46/3</f>
        <v>7011120.4337140592</v>
      </c>
    </row>
    <row r="47" spans="1:7" x14ac:dyDescent="0.2">
      <c r="A47" s="14" t="str">
        <f>A23</f>
        <v>Kinh doanh</v>
      </c>
      <c r="B47" s="16">
        <f>CHOOSE(MATCH($C$13,{"Gốc","Trừ Zalo thực tế","Trừ 5% Zalo"},0),C23,D23,E23)/$C$8</f>
        <v>115611.14254765396</v>
      </c>
      <c r="C47" s="16">
        <f>$B47*C$39*(1+$C$12)</f>
        <v>4121537.2318238635</v>
      </c>
      <c r="D47" s="16">
        <f>$B47*D$39*(1+$C$12)</f>
        <v>3988584.4178940612</v>
      </c>
      <c r="E47" s="16">
        <f>$B47*E$39*(1+$C$12)</f>
        <v>4121537.2318238635</v>
      </c>
      <c r="F47" s="16">
        <f>SUM(C47:E47)</f>
        <v>12231658.881541789</v>
      </c>
      <c r="G47" s="16">
        <f>F47/3</f>
        <v>4077219.6271805963</v>
      </c>
    </row>
    <row r="48" spans="1:7" x14ac:dyDescent="0.2">
      <c r="A48" s="14" t="str">
        <f>A24</f>
        <v>Công nghệ</v>
      </c>
      <c r="B48" s="16">
        <f>CHOOSE(MATCH($C$13,{"Gốc","Trừ Zalo thực tế","Trừ 5% Zalo"},0),C24,D24,E24)/$C$8</f>
        <v>55824.984641357223</v>
      </c>
      <c r="C48" s="16">
        <f>$B48*C$39*(1+$C$12)</f>
        <v>1990160.7024643847</v>
      </c>
      <c r="D48" s="16">
        <f>$B48*D$39*(1+$C$12)</f>
        <v>1925961.970126824</v>
      </c>
      <c r="E48" s="16">
        <f>$B48*E$39*(1+$C$12)</f>
        <v>1990160.7024643847</v>
      </c>
      <c r="F48" s="16">
        <f>SUM(C48:E48)</f>
        <v>5906283.3750555934</v>
      </c>
      <c r="G48" s="16">
        <f>F48/3</f>
        <v>1968761.1250185312</v>
      </c>
    </row>
    <row r="49" spans="1:13" x14ac:dyDescent="0.2">
      <c r="A49" s="14" t="str">
        <f>A25</f>
        <v>Xe</v>
      </c>
      <c r="B49" s="16">
        <f>CHOOSE(MATCH($C$13,{"Gốc","Trừ Zalo thực tế","Trừ 5% Zalo"},0),C25,D25,E25)/$C$8</f>
        <v>27366.909683788243</v>
      </c>
      <c r="C49" s="16">
        <f>$B49*C$39*(1+$C$12)</f>
        <v>975630.33022705081</v>
      </c>
      <c r="D49" s="16">
        <f>$B49*D$39*(1+$C$12)</f>
        <v>944158.38409069425</v>
      </c>
      <c r="E49" s="16">
        <f>$B49*E$39*(1+$C$12)</f>
        <v>975630.33022705081</v>
      </c>
      <c r="F49" s="16">
        <f>SUM(C49:E49)</f>
        <v>2895419.044544796</v>
      </c>
      <c r="G49" s="16">
        <f>F49/3</f>
        <v>965139.68151493196</v>
      </c>
    </row>
    <row r="50" spans="1:13" x14ac:dyDescent="0.2">
      <c r="A50" s="11" t="str">
        <f>A26</f>
        <v>Khối Lifestyle</v>
      </c>
      <c r="B50" s="13">
        <f>CHOOSE(MATCH($C$13,{"Gốc","Trừ Zalo thực tế","Trừ 5% Zalo"},0),C26,D26,E26)/$C$8</f>
        <v>185956.82940285429</v>
      </c>
      <c r="C50" s="13">
        <f>$B50*C$39*(1+$C$12)</f>
        <v>6629360.9682117542</v>
      </c>
      <c r="D50" s="13">
        <f>$B50*D$39*(1+$C$12)</f>
        <v>6415510.6143984729</v>
      </c>
      <c r="E50" s="13">
        <f>$B50*E$39*(1+$C$12)</f>
        <v>6629360.9682117542</v>
      </c>
      <c r="F50" s="13">
        <f>SUM(C50:E50)</f>
        <v>19674232.550821982</v>
      </c>
      <c r="G50" s="13">
        <f>F50/3</f>
        <v>6558077.5169406608</v>
      </c>
    </row>
    <row r="51" spans="1:13" x14ac:dyDescent="0.2">
      <c r="A51" s="14" t="str">
        <f>A27</f>
        <v>Đời sống</v>
      </c>
      <c r="B51" s="16">
        <f>CHOOSE(MATCH($C$13,{"Gốc","Trừ Zalo thực tế","Trừ 5% Zalo"},0),C27,D27,E27)/$C$8</f>
        <v>58382.961143901353</v>
      </c>
      <c r="C51" s="16">
        <f>$B51*C$39*(1+$C$12)</f>
        <v>2081352.564780083</v>
      </c>
      <c r="D51" s="16">
        <f>$B51*D$39*(1+$C$12)</f>
        <v>2014212.1594645965</v>
      </c>
      <c r="E51" s="16">
        <f>$B51*E$39*(1+$C$12)</f>
        <v>2081352.564780083</v>
      </c>
      <c r="F51" s="16">
        <f>SUM(C51:E51)</f>
        <v>6176917.2890247628</v>
      </c>
      <c r="G51" s="16">
        <f>F51/3</f>
        <v>2058972.4296749209</v>
      </c>
    </row>
    <row r="52" spans="1:13" x14ac:dyDescent="0.2">
      <c r="A52" s="14" t="str">
        <f>A28</f>
        <v>Lifestyle</v>
      </c>
      <c r="B52" s="16">
        <f>CHOOSE(MATCH($C$13,{"Gốc","Trừ Zalo thực tế","Trừ 5% Zalo"},0),C28,D28,E28)/$C$8</f>
        <v>18458.218321793764</v>
      </c>
      <c r="C52" s="16">
        <f>$B52*C$39*(1+$C$12)</f>
        <v>658035.48317194765</v>
      </c>
      <c r="D52" s="16">
        <f>$B52*D$39*(1+$C$12)</f>
        <v>636808.53210188483</v>
      </c>
      <c r="E52" s="16">
        <f>$B52*E$39*(1+$C$12)</f>
        <v>658035.48317194765</v>
      </c>
      <c r="F52" s="16">
        <f>SUM(C52:E52)</f>
        <v>1952879.49844578</v>
      </c>
      <c r="G52" s="16">
        <f>F52/3</f>
        <v>650959.83281526004</v>
      </c>
    </row>
    <row r="53" spans="1:13" x14ac:dyDescent="0.2">
      <c r="A53" s="14" t="str">
        <f>A29</f>
        <v>Sức khỏe</v>
      </c>
      <c r="B53" s="16">
        <f>CHOOSE(MATCH($C$13,{"Gốc","Trừ Zalo thực tế","Trừ 5% Zalo"},0),C29,D29,E29)/$C$8</f>
        <v>63019.527679622239</v>
      </c>
      <c r="C53" s="16">
        <f>$B53*C$39*(1+$C$12)</f>
        <v>2246646.1617785329</v>
      </c>
      <c r="D53" s="16">
        <f>$B53*D$39*(1+$C$12)</f>
        <v>2174173.7049469668</v>
      </c>
      <c r="E53" s="16">
        <f>$B53*E$39*(1+$C$12)</f>
        <v>2246646.1617785329</v>
      </c>
      <c r="F53" s="16">
        <f>SUM(C53:E53)</f>
        <v>6667466.0285040326</v>
      </c>
      <c r="G53" s="16">
        <f>F53/3</f>
        <v>2222488.676168011</v>
      </c>
    </row>
    <row r="54" spans="1:13" x14ac:dyDescent="0.2">
      <c r="A54" s="14" t="str">
        <f>A30</f>
        <v>Giáo dục</v>
      </c>
      <c r="B54" s="16">
        <f>CHOOSE(MATCH($C$13,{"Gốc","Trừ Zalo thực tế","Trừ 5% Zalo"},0),C30,D30,E30)/$C$8</f>
        <v>15822.520802779867</v>
      </c>
      <c r="C54" s="16">
        <f>$B54*C$39*(1+$C$12)</f>
        <v>564072.86661910219</v>
      </c>
      <c r="D54" s="16">
        <f>$B54*D$39*(1+$C$12)</f>
        <v>545876.96769590536</v>
      </c>
      <c r="E54" s="16">
        <f>$B54*E$39*(1+$C$12)</f>
        <v>564072.86661910219</v>
      </c>
      <c r="F54" s="16">
        <f>SUM(C54:E54)</f>
        <v>1674022.7009341097</v>
      </c>
      <c r="G54" s="16">
        <f>F54/3</f>
        <v>558007.56697803654</v>
      </c>
    </row>
    <row r="55" spans="1:13" x14ac:dyDescent="0.2">
      <c r="A55" s="14" t="str">
        <f>A31</f>
        <v>Du lịch</v>
      </c>
      <c r="B55" s="16">
        <f>CHOOSE(MATCH($C$13,{"Gốc","Trừ Zalo thực tế","Trừ 5% Zalo"},0),C31,D31,E31)/$C$8</f>
        <v>30273.601454757089</v>
      </c>
      <c r="C55" s="16">
        <f>$B55*C$39*(1+$C$12)</f>
        <v>1079253.8918620902</v>
      </c>
      <c r="D55" s="16">
        <f>$B55*D$39*(1+$C$12)</f>
        <v>1044439.2501891195</v>
      </c>
      <c r="E55" s="16">
        <f>$B55*E$39*(1+$C$12)</f>
        <v>1079253.8918620902</v>
      </c>
      <c r="F55" s="16">
        <f>SUM(C55:E55)</f>
        <v>3202947.0339132999</v>
      </c>
      <c r="G55" s="16">
        <f>F55/3</f>
        <v>1067649.0113044332</v>
      </c>
    </row>
    <row r="56" spans="1:13" x14ac:dyDescent="0.2">
      <c r="A56" s="11" t="str">
        <f>A32</f>
        <v>Khối Truy cập</v>
      </c>
      <c r="B56" s="13">
        <f>CHOOSE(MATCH($C$13,{"Gốc","Trừ Zalo thực tế","Trừ 5% Zalo"},0),C32,D32,E32)/$C$8</f>
        <v>302221.46294613159</v>
      </c>
      <c r="C56" s="13">
        <f>$B56*C$39*(1+$C$12)</f>
        <v>10774195.154029591</v>
      </c>
      <c r="D56" s="13">
        <f>$B56*D$39*(1+$C$12)</f>
        <v>10426640.471641539</v>
      </c>
      <c r="E56" s="13">
        <f>$B56*E$39*(1+$C$12)</f>
        <v>10774195.154029591</v>
      </c>
      <c r="F56" s="13">
        <f>SUM(C56:E56)</f>
        <v>31975030.779700719</v>
      </c>
      <c r="G56" s="13">
        <f>F56/3</f>
        <v>10658343.593233572</v>
      </c>
    </row>
    <row r="57" spans="1:13" x14ac:dyDescent="0.2">
      <c r="A57" s="14" t="str">
        <f>A33</f>
        <v>Thể thao</v>
      </c>
      <c r="B57" s="16">
        <f>CHOOSE(MATCH($C$13,{"Gốc","Trừ Zalo thực tế","Trừ 5% Zalo"},0),C33,D33,E33)/$C$8</f>
        <v>215095.42728578713</v>
      </c>
      <c r="C57" s="16">
        <f>$B57*C$39*(1+$C$12)</f>
        <v>7668151.9827383105</v>
      </c>
      <c r="D57" s="16">
        <f>$B57*D$39*(1+$C$12)</f>
        <v>7420792.2413596548</v>
      </c>
      <c r="E57" s="16">
        <f>$B57*E$39*(1+$C$12)</f>
        <v>7668151.9827383105</v>
      </c>
      <c r="F57" s="16">
        <f>SUM(C57:E57)</f>
        <v>22757096.206836276</v>
      </c>
      <c r="G57" s="16">
        <f>F57/3</f>
        <v>7585698.7356120916</v>
      </c>
    </row>
    <row r="58" spans="1:13" x14ac:dyDescent="0.2">
      <c r="A58" s="14" t="str">
        <f>A34</f>
        <v>Giải trí</v>
      </c>
      <c r="B58" s="16">
        <f>CHOOSE(MATCH($C$13,{"Gốc","Trừ Zalo thực tế","Trừ 5% Zalo"},0),C34,D34,E34)/$C$8</f>
        <v>87126.035660344511</v>
      </c>
      <c r="C58" s="16">
        <f>$B58*C$39*(1+$C$12)</f>
        <v>3106043.1712912815</v>
      </c>
      <c r="D58" s="16">
        <f>$B58*D$39*(1+$C$12)</f>
        <v>3005848.2302818857</v>
      </c>
      <c r="E58" s="16">
        <f>$B58*E$39*(1+$C$12)</f>
        <v>3106043.1712912815</v>
      </c>
      <c r="F58" s="16">
        <f>SUM(C58:E58)</f>
        <v>9217934.5728644487</v>
      </c>
      <c r="G58" s="16">
        <f>F58/3</f>
        <v>3072644.857621483</v>
      </c>
    </row>
    <row r="59" spans="1:13" x14ac:dyDescent="0.2">
      <c r="A59" s="17" t="str">
        <f>A35</f>
        <v>Toàn Znews</v>
      </c>
      <c r="B59" s="19">
        <f>CHOOSE(MATCH($C$13,{"Gốc","Trừ Zalo thực tế","Trừ 5% Zalo"},0),C35,D35,E35)/$C$8</f>
        <v>848948.65401521593</v>
      </c>
      <c r="C59" s="19">
        <f>$B59*C$39*(1+$C$12)</f>
        <v>30265019.515642446</v>
      </c>
      <c r="D59" s="19">
        <f>$B59*D$39*(1+$C$12)</f>
        <v>29288728.56352495</v>
      </c>
      <c r="E59" s="19">
        <f>$B59*E$39*(1+$C$12)</f>
        <v>30265019.515642446</v>
      </c>
      <c r="F59" s="19">
        <f>SUM(C59:E59)</f>
        <v>89818767.594809845</v>
      </c>
      <c r="G59" s="19">
        <f>F59/3</f>
        <v>29939589.198269948</v>
      </c>
    </row>
    <row r="62" spans="1:13" x14ac:dyDescent="0.2">
      <c r="A62" s="3" t="s">
        <v>40</v>
      </c>
    </row>
    <row r="63" spans="1:13" x14ac:dyDescent="0.2">
      <c r="A63" s="20"/>
      <c r="B63" s="22" t="s">
        <v>41</v>
      </c>
      <c r="C63" s="22"/>
      <c r="D63" s="22"/>
      <c r="E63" s="22"/>
      <c r="F63" s="22" t="s">
        <v>12</v>
      </c>
      <c r="G63" s="22"/>
      <c r="H63" s="22"/>
      <c r="I63" s="22"/>
      <c r="J63" s="22" t="s">
        <v>42</v>
      </c>
      <c r="K63" s="22"/>
      <c r="L63" s="22"/>
      <c r="M63" s="22"/>
    </row>
    <row r="64" spans="1:13" ht="16" x14ac:dyDescent="0.2">
      <c r="A64" s="20" t="s">
        <v>14</v>
      </c>
      <c r="B64" s="23">
        <v>0.1</v>
      </c>
      <c r="C64" s="23">
        <v>0.15</v>
      </c>
      <c r="D64" s="23">
        <v>0.2</v>
      </c>
      <c r="E64" s="23">
        <v>0.5</v>
      </c>
      <c r="F64" s="24">
        <f>B64</f>
        <v>0.1</v>
      </c>
      <c r="G64" s="24">
        <f>C64</f>
        <v>0.15</v>
      </c>
      <c r="H64" s="24">
        <f>D64</f>
        <v>0.2</v>
      </c>
      <c r="I64" s="24">
        <f>E64</f>
        <v>0.5</v>
      </c>
      <c r="J64" s="24">
        <f>B64</f>
        <v>0.1</v>
      </c>
      <c r="K64" s="24">
        <f>C64</f>
        <v>0.15</v>
      </c>
      <c r="L64" s="24">
        <f>D64</f>
        <v>0.2</v>
      </c>
      <c r="M64" s="24">
        <f>E64</f>
        <v>0.5</v>
      </c>
    </row>
    <row r="65" spans="1:13" x14ac:dyDescent="0.2">
      <c r="A65" s="11" t="str">
        <f>A17</f>
        <v>Khối Uy tín</v>
      </c>
      <c r="B65" s="13">
        <f>$C17*(1+B$64)</f>
        <v>5461335</v>
      </c>
      <c r="C65" s="13">
        <f>$C17*(1+C$64)</f>
        <v>5709577.5</v>
      </c>
      <c r="D65" s="13">
        <f>$C17*(1+D$64)</f>
        <v>5957820</v>
      </c>
      <c r="E65" s="13">
        <f>$C17*(1+E$64)</f>
        <v>7447275</v>
      </c>
      <c r="F65" s="13">
        <f>$D17*(1+F$64)</f>
        <v>5344921.7181832111</v>
      </c>
      <c r="G65" s="13">
        <f>$D17*(1+G$64)</f>
        <v>5587872.7053733561</v>
      </c>
      <c r="H65" s="13">
        <f>$D17*(1+H$64)</f>
        <v>5830823.692563503</v>
      </c>
      <c r="I65" s="13">
        <f>$D17*(1+I$64)</f>
        <v>7288529.6157043781</v>
      </c>
      <c r="J65" s="13">
        <f>$E17*(1+J$64)</f>
        <v>5188268.25</v>
      </c>
      <c r="K65" s="13">
        <f>$E17*(1+K$64)</f>
        <v>5424098.625</v>
      </c>
      <c r="L65" s="13">
        <f>$E17*(1+L$64)</f>
        <v>5659929</v>
      </c>
      <c r="M65" s="13">
        <f>$E17*(1+M$64)</f>
        <v>7074911.25</v>
      </c>
    </row>
    <row r="66" spans="1:13" x14ac:dyDescent="0.2">
      <c r="A66" s="14" t="str">
        <f>A18</f>
        <v>Xã hội</v>
      </c>
      <c r="B66" s="16">
        <f>$C18*(1+B$64)</f>
        <v>2059932.8275862071</v>
      </c>
      <c r="C66" s="16">
        <f>$C18*(1+C$64)</f>
        <v>2153566.1379310344</v>
      </c>
      <c r="D66" s="16">
        <f>$C18*(1+D$64)</f>
        <v>2247199.4482758618</v>
      </c>
      <c r="E66" s="16">
        <f>$C18*(1+E$64)</f>
        <v>2808999.3103448274</v>
      </c>
      <c r="F66" s="16">
        <f>$D18*(1+F$64)</f>
        <v>2016023.5012435729</v>
      </c>
      <c r="G66" s="16">
        <f>$D18*(1+G$64)</f>
        <v>2107660.9331182805</v>
      </c>
      <c r="H66" s="16">
        <f>$D18*(1+H$64)</f>
        <v>2199298.3649929883</v>
      </c>
      <c r="I66" s="16">
        <f>$D18*(1+I$64)</f>
        <v>2749122.9562412356</v>
      </c>
      <c r="J66" s="16">
        <f>$E18*(1+J$64)</f>
        <v>1956936.1862068966</v>
      </c>
      <c r="K66" s="16">
        <f>$E18*(1+K$64)</f>
        <v>2045887.8310344825</v>
      </c>
      <c r="L66" s="16">
        <f>$E18*(1+L$64)</f>
        <v>2134839.4758620686</v>
      </c>
      <c r="M66" s="16">
        <f>$E18*(1+M$64)</f>
        <v>2668549.3448275859</v>
      </c>
    </row>
    <row r="67" spans="1:13" x14ac:dyDescent="0.2">
      <c r="A67" s="14" t="str">
        <f>A19</f>
        <v>Pháp luật</v>
      </c>
      <c r="B67" s="16">
        <f>$C19*(1+B$64)</f>
        <v>1250028.6206896552</v>
      </c>
      <c r="C67" s="16">
        <f>$C19*(1+C$64)</f>
        <v>1306848.1034482757</v>
      </c>
      <c r="D67" s="16">
        <f>$C19*(1+D$64)</f>
        <v>1363667.5862068965</v>
      </c>
      <c r="E67" s="16">
        <f>$C19*(1+E$64)</f>
        <v>1704584.4827586205</v>
      </c>
      <c r="F67" s="16">
        <f>$D19*(1+F$64)</f>
        <v>1223383.1330754734</v>
      </c>
      <c r="G67" s="16">
        <f>$D19*(1+G$64)</f>
        <v>1278991.4573061764</v>
      </c>
      <c r="H67" s="16">
        <f>$D19*(1+H$64)</f>
        <v>1334599.7815368797</v>
      </c>
      <c r="I67" s="16">
        <f>$D19*(1+I$64)</f>
        <v>1668249.7269210997</v>
      </c>
      <c r="J67" s="16">
        <f>$E19*(1+J$64)</f>
        <v>1187527.1896551724</v>
      </c>
      <c r="K67" s="16">
        <f>$E19*(1+K$64)</f>
        <v>1241505.6982758618</v>
      </c>
      <c r="L67" s="16">
        <f>$E19*(1+L$64)</f>
        <v>1295484.2068965514</v>
      </c>
      <c r="M67" s="16">
        <f>$E19*(1+M$64)</f>
        <v>1619355.2586206894</v>
      </c>
    </row>
    <row r="68" spans="1:13" x14ac:dyDescent="0.2">
      <c r="A68" s="14" t="str">
        <f>A20</f>
        <v>Thế giới</v>
      </c>
      <c r="B68" s="16">
        <f>$C20*(1+B$64)</f>
        <v>949237.03448275861</v>
      </c>
      <c r="C68" s="16">
        <f>$C20*(1+C$64)</f>
        <v>992384.17241379304</v>
      </c>
      <c r="D68" s="16">
        <f>$C20*(1+D$64)</f>
        <v>1035531.3103448275</v>
      </c>
      <c r="E68" s="16">
        <f>$C20*(1+E$64)</f>
        <v>1294414.1379310344</v>
      </c>
      <c r="F68" s="16">
        <f>$D20*(1+F$64)</f>
        <v>929003.19085181959</v>
      </c>
      <c r="G68" s="16">
        <f>$D20*(1+G$64)</f>
        <v>971230.60861781123</v>
      </c>
      <c r="H68" s="16">
        <f>$D20*(1+H$64)</f>
        <v>1013458.0263838031</v>
      </c>
      <c r="I68" s="16">
        <f>$D20*(1+I$64)</f>
        <v>1266822.5329797538</v>
      </c>
      <c r="J68" s="16">
        <f>$E20*(1+J$64)</f>
        <v>901775.18275862071</v>
      </c>
      <c r="K68" s="16">
        <f>$E20*(1+K$64)</f>
        <v>942764.96379310323</v>
      </c>
      <c r="L68" s="16">
        <f>$E20*(1+L$64)</f>
        <v>983754.74482758599</v>
      </c>
      <c r="M68" s="16">
        <f>$E20*(1+M$64)</f>
        <v>1229693.4310344825</v>
      </c>
    </row>
    <row r="69" spans="1:13" x14ac:dyDescent="0.2">
      <c r="A69" s="14" t="str">
        <f>A21</f>
        <v>Xuất bản</v>
      </c>
      <c r="B69" s="16">
        <f>$C21*(1+B$64)</f>
        <v>1202136.5172413795</v>
      </c>
      <c r="C69" s="16">
        <f>$C21*(1+C$64)</f>
        <v>1256779.0862068965</v>
      </c>
      <c r="D69" s="16">
        <f>$C21*(1+D$64)</f>
        <v>1311421.6551724137</v>
      </c>
      <c r="E69" s="16">
        <f>$C21*(1+E$64)</f>
        <v>1639277.0689655172</v>
      </c>
      <c r="F69" s="16">
        <f>$D21*(1+F$64)</f>
        <v>1176511.8930123448</v>
      </c>
      <c r="G69" s="16">
        <f>$D21*(1+G$64)</f>
        <v>1229989.7063310875</v>
      </c>
      <c r="H69" s="16">
        <f>$D21*(1+H$64)</f>
        <v>1283467.5196498304</v>
      </c>
      <c r="I69" s="16">
        <f>$D21*(1+I$64)</f>
        <v>1604334.3995622881</v>
      </c>
      <c r="J69" s="16">
        <f>$E21*(1+J$64)</f>
        <v>1142029.6913793103</v>
      </c>
      <c r="K69" s="16">
        <f>$E21*(1+K$64)</f>
        <v>1193940.1318965515</v>
      </c>
      <c r="L69" s="16">
        <f>$E21*(1+L$64)</f>
        <v>1245850.5724137928</v>
      </c>
      <c r="M69" s="16">
        <f>$E21*(1+M$64)</f>
        <v>1557313.2155172413</v>
      </c>
    </row>
    <row r="70" spans="1:13" x14ac:dyDescent="0.2">
      <c r="A70" s="11" t="str">
        <f>A22</f>
        <v>Khối Kinh doanh</v>
      </c>
      <c r="B70" s="13">
        <f>$C22*(1+B$64)</f>
        <v>6703389.0000000009</v>
      </c>
      <c r="C70" s="13">
        <f>$C22*(1+C$64)</f>
        <v>7008088.4999999991</v>
      </c>
      <c r="D70" s="13">
        <f>$C22*(1+D$64)</f>
        <v>7312788</v>
      </c>
      <c r="E70" s="13">
        <f>$C22*(1+E$64)</f>
        <v>9140985</v>
      </c>
      <c r="F70" s="13">
        <f>$D22*(1+F$64)</f>
        <v>6560500.2168023819</v>
      </c>
      <c r="G70" s="13">
        <f>$D22*(1+G$64)</f>
        <v>6858704.7721115807</v>
      </c>
      <c r="H70" s="13">
        <f>$D22*(1+H$64)</f>
        <v>7156909.3274207795</v>
      </c>
      <c r="I70" s="13">
        <f>$D22*(1+I$64)</f>
        <v>8946136.6592759751</v>
      </c>
      <c r="J70" s="13">
        <f>$E22*(1+J$64)</f>
        <v>6368219.5500000007</v>
      </c>
      <c r="K70" s="13">
        <f>$E22*(1+K$64)</f>
        <v>6657684.0749999993</v>
      </c>
      <c r="L70" s="13">
        <f>$E22*(1+L$64)</f>
        <v>6947148.5999999996</v>
      </c>
      <c r="M70" s="13">
        <f>$E22*(1+M$64)</f>
        <v>8683935.75</v>
      </c>
    </row>
    <row r="71" spans="1:13" x14ac:dyDescent="0.2">
      <c r="A71" s="14" t="str">
        <f>A23</f>
        <v>Kinh doanh</v>
      </c>
      <c r="B71" s="16">
        <f>$C23*(1+B$64)</f>
        <v>3898262.6896551726</v>
      </c>
      <c r="C71" s="16">
        <f>$C23*(1+C$64)</f>
        <v>4075456.4482758613</v>
      </c>
      <c r="D71" s="16">
        <f>$C23*(1+D$64)</f>
        <v>4252650.206896551</v>
      </c>
      <c r="E71" s="16">
        <f>$C23*(1+E$64)</f>
        <v>5315812.7586206896</v>
      </c>
      <c r="F71" s="16">
        <f>$D23*(1+F$64)</f>
        <v>3815167.7040725807</v>
      </c>
      <c r="G71" s="16">
        <f>$D23*(1+G$64)</f>
        <v>3988584.4178940612</v>
      </c>
      <c r="H71" s="16">
        <f>$D23*(1+H$64)</f>
        <v>4162001.1317155422</v>
      </c>
      <c r="I71" s="16">
        <f>$D23*(1+I$64)</f>
        <v>5202501.4146444276</v>
      </c>
      <c r="J71" s="16">
        <f>$E23*(1+J$64)</f>
        <v>3703349.5551724141</v>
      </c>
      <c r="K71" s="16">
        <f>$E23*(1+K$64)</f>
        <v>3871683.6258620685</v>
      </c>
      <c r="L71" s="16">
        <f>$E23*(1+L$64)</f>
        <v>4040017.6965517239</v>
      </c>
      <c r="M71" s="16">
        <f>$E23*(1+M$64)</f>
        <v>5050022.1206896547</v>
      </c>
    </row>
    <row r="72" spans="1:13" x14ac:dyDescent="0.2">
      <c r="A72" s="14" t="str">
        <f>A24</f>
        <v>Công nghệ</v>
      </c>
      <c r="B72" s="16">
        <f>$C24*(1+B$64)</f>
        <v>1882348.448275862</v>
      </c>
      <c r="C72" s="16">
        <f>$C24*(1+C$64)</f>
        <v>1967909.7413793099</v>
      </c>
      <c r="D72" s="16">
        <f>$C24*(1+D$64)</f>
        <v>2053471.0344827583</v>
      </c>
      <c r="E72" s="16">
        <f>$C24*(1+E$64)</f>
        <v>2566838.7931034481</v>
      </c>
      <c r="F72" s="16">
        <f>$D24*(1+F$64)</f>
        <v>1842224.4931647885</v>
      </c>
      <c r="G72" s="16">
        <f>$D24*(1+G$64)</f>
        <v>1925961.970126824</v>
      </c>
      <c r="H72" s="16">
        <f>$D24*(1+H$64)</f>
        <v>2009699.44708886</v>
      </c>
      <c r="I72" s="16">
        <f>$D24*(1+I$64)</f>
        <v>2512124.308861075</v>
      </c>
      <c r="J72" s="16">
        <f>$E24*(1+J$64)</f>
        <v>1788231.0258620689</v>
      </c>
      <c r="K72" s="16">
        <f>$E24*(1+K$64)</f>
        <v>1869514.2543103443</v>
      </c>
      <c r="L72" s="16">
        <f>$E24*(1+L$64)</f>
        <v>1950797.4827586203</v>
      </c>
      <c r="M72" s="16">
        <f>$E24*(1+M$64)</f>
        <v>2438496.8534482755</v>
      </c>
    </row>
    <row r="73" spans="1:13" x14ac:dyDescent="0.2">
      <c r="A73" s="14" t="str">
        <f>A25</f>
        <v>Xe</v>
      </c>
      <c r="B73" s="16">
        <f>$C25*(1+B$64)</f>
        <v>922777.86206896557</v>
      </c>
      <c r="C73" s="16">
        <f>$C25*(1+C$64)</f>
        <v>964722.31034482748</v>
      </c>
      <c r="D73" s="16">
        <f>$C25*(1+D$64)</f>
        <v>1006666.7586206896</v>
      </c>
      <c r="E73" s="16">
        <f>$C25*(1+E$64)</f>
        <v>1258333.448275862</v>
      </c>
      <c r="F73" s="16">
        <f>$D25*(1+F$64)</f>
        <v>903108.01956501207</v>
      </c>
      <c r="G73" s="16">
        <f>$D25*(1+G$64)</f>
        <v>944158.38409069425</v>
      </c>
      <c r="H73" s="16">
        <f>$D25*(1+H$64)</f>
        <v>985208.74861637666</v>
      </c>
      <c r="I73" s="16">
        <f>$D25*(1+I$64)</f>
        <v>1231510.9357704709</v>
      </c>
      <c r="J73" s="16">
        <f>$E25*(1+J$64)</f>
        <v>876638.96896551724</v>
      </c>
      <c r="K73" s="16">
        <f>$E25*(1+K$64)</f>
        <v>916486.19482758606</v>
      </c>
      <c r="L73" s="16">
        <f>$E25*(1+L$64)</f>
        <v>956333.420689655</v>
      </c>
      <c r="M73" s="16">
        <f>$E25*(1+M$64)</f>
        <v>1195416.7758620689</v>
      </c>
    </row>
    <row r="74" spans="1:13" x14ac:dyDescent="0.2">
      <c r="A74" s="11" t="str">
        <f>A26</f>
        <v>Khối Lifestyle</v>
      </c>
      <c r="B74" s="13">
        <f>$C26*(1+B$64)</f>
        <v>6270231.0000000009</v>
      </c>
      <c r="C74" s="13">
        <f>$C26*(1+C$64)</f>
        <v>6555241.4999999991</v>
      </c>
      <c r="D74" s="13">
        <f>$C26*(1+D$64)</f>
        <v>6840252</v>
      </c>
      <c r="E74" s="13">
        <f>$C26*(1+E$64)</f>
        <v>8550315</v>
      </c>
      <c r="F74" s="13">
        <f>$D26*(1+F$64)</f>
        <v>6136575.3702941919</v>
      </c>
      <c r="G74" s="13">
        <f>$D26*(1+G$64)</f>
        <v>6415510.6143984729</v>
      </c>
      <c r="H74" s="13">
        <f>$D26*(1+H$64)</f>
        <v>6694445.858502754</v>
      </c>
      <c r="I74" s="13">
        <f>$D26*(1+I$64)</f>
        <v>8368057.3231284432</v>
      </c>
      <c r="J74" s="13">
        <f>$E26*(1+J$64)</f>
        <v>5956719.4500000002</v>
      </c>
      <c r="K74" s="13">
        <f>$E26*(1+K$64)</f>
        <v>6227479.4249999998</v>
      </c>
      <c r="L74" s="13">
        <f>$E26*(1+L$64)</f>
        <v>6498239.3999999994</v>
      </c>
      <c r="M74" s="13">
        <f>$E26*(1+M$64)</f>
        <v>8122799.25</v>
      </c>
    </row>
    <row r="75" spans="1:13" x14ac:dyDescent="0.2">
      <c r="A75" s="14" t="str">
        <f>A27</f>
        <v>Đời sống</v>
      </c>
      <c r="B75" s="16">
        <f>$C27*(1+B$64)</f>
        <v>1968600.2068965517</v>
      </c>
      <c r="C75" s="16">
        <f>$C27*(1+C$64)</f>
        <v>2058082.0344827583</v>
      </c>
      <c r="D75" s="16">
        <f>$C27*(1+D$64)</f>
        <v>2147563.8620689651</v>
      </c>
      <c r="E75" s="16">
        <f>$C27*(1+E$64)</f>
        <v>2684454.8275862066</v>
      </c>
      <c r="F75" s="16">
        <f>$D27*(1+F$64)</f>
        <v>1926637.7177487449</v>
      </c>
      <c r="G75" s="16">
        <f>$D27*(1+G$64)</f>
        <v>2014212.1594645965</v>
      </c>
      <c r="H75" s="16">
        <f>$D27*(1+H$64)</f>
        <v>2101786.6011804487</v>
      </c>
      <c r="I75" s="16">
        <f>$D27*(1+I$64)</f>
        <v>2627233.2514755609</v>
      </c>
      <c r="J75" s="16">
        <f>$E27*(1+J$64)</f>
        <v>1870170.1965517239</v>
      </c>
      <c r="K75" s="16">
        <f>$E27*(1+K$64)</f>
        <v>1955177.93275862</v>
      </c>
      <c r="L75" s="16">
        <f>$E27*(1+L$64)</f>
        <v>2040185.6689655166</v>
      </c>
      <c r="M75" s="16">
        <f>$E27*(1+M$64)</f>
        <v>2550232.0862068962</v>
      </c>
    </row>
    <row r="76" spans="1:13" x14ac:dyDescent="0.2">
      <c r="A76" s="14" t="str">
        <f>A28</f>
        <v>Lifestyle</v>
      </c>
      <c r="B76" s="16">
        <f>$C28*(1+B$64)</f>
        <v>622387.96551724151</v>
      </c>
      <c r="C76" s="16">
        <f>$C28*(1+C$64)</f>
        <v>650678.32758620684</v>
      </c>
      <c r="D76" s="16">
        <f>$C28*(1+D$64)</f>
        <v>678968.68965517241</v>
      </c>
      <c r="E76" s="16">
        <f>$C28*(1+E$64)</f>
        <v>848710.86206896557</v>
      </c>
      <c r="F76" s="16">
        <f>$D28*(1+F$64)</f>
        <v>609121.20461919426</v>
      </c>
      <c r="G76" s="16">
        <f>$D28*(1+G$64)</f>
        <v>636808.53210188483</v>
      </c>
      <c r="H76" s="16">
        <f>$D28*(1+H$64)</f>
        <v>664495.8595845754</v>
      </c>
      <c r="I76" s="16">
        <f>$D28*(1+I$64)</f>
        <v>830619.8244807194</v>
      </c>
      <c r="J76" s="16">
        <f>$E28*(1+J$64)</f>
        <v>591268.56724137929</v>
      </c>
      <c r="K76" s="16">
        <f>$E28*(1+K$64)</f>
        <v>618144.41120689653</v>
      </c>
      <c r="L76" s="16">
        <f>$E28*(1+L$64)</f>
        <v>645020.25517241377</v>
      </c>
      <c r="M76" s="16">
        <f>$E28*(1+M$64)</f>
        <v>806275.31896551722</v>
      </c>
    </row>
    <row r="77" spans="1:13" x14ac:dyDescent="0.2">
      <c r="A77" s="14" t="str">
        <f>A29</f>
        <v>Sức khỏe</v>
      </c>
      <c r="B77" s="16">
        <f>$C29*(1+B$64)</f>
        <v>2124939.4137931038</v>
      </c>
      <c r="C77" s="16">
        <f>$C29*(1+C$64)</f>
        <v>2221527.568965517</v>
      </c>
      <c r="D77" s="16">
        <f>$C29*(1+D$64)</f>
        <v>2318115.7241379311</v>
      </c>
      <c r="E77" s="16">
        <f>$C29*(1+E$64)</f>
        <v>2897644.6551724141</v>
      </c>
      <c r="F77" s="16">
        <f>$D29*(1+F$64)</f>
        <v>2079644.413427534</v>
      </c>
      <c r="G77" s="16">
        <f>$D29*(1+G$64)</f>
        <v>2174173.7049469668</v>
      </c>
      <c r="H77" s="16">
        <f>$D29*(1+H$64)</f>
        <v>2268702.9964664006</v>
      </c>
      <c r="I77" s="16">
        <f>$D29*(1+I$64)</f>
        <v>2835878.7455830006</v>
      </c>
      <c r="J77" s="16">
        <f>$E29*(1+J$64)</f>
        <v>2018692.4431034485</v>
      </c>
      <c r="K77" s="16">
        <f>$E29*(1+K$64)</f>
        <v>2110451.1905172411</v>
      </c>
      <c r="L77" s="16">
        <f>$E29*(1+L$64)</f>
        <v>2202209.9379310342</v>
      </c>
      <c r="M77" s="16">
        <f>$E29*(1+M$64)</f>
        <v>2752762.4224137929</v>
      </c>
    </row>
    <row r="78" spans="1:13" x14ac:dyDescent="0.2">
      <c r="A78" s="14" t="str">
        <f>A30</f>
        <v>Giáo dục</v>
      </c>
      <c r="B78" s="16">
        <f>$C30*(1+B$64)</f>
        <v>533515.55172413797</v>
      </c>
      <c r="C78" s="16">
        <f>$C30*(1+C$64)</f>
        <v>557766.25862068951</v>
      </c>
      <c r="D78" s="16">
        <f>$C30*(1+D$64)</f>
        <v>582016.96551724127</v>
      </c>
      <c r="E78" s="16">
        <f>$C30*(1+E$64)</f>
        <v>727521.20689655165</v>
      </c>
      <c r="F78" s="16">
        <f>$D30*(1+F$64)</f>
        <v>522143.18649173563</v>
      </c>
      <c r="G78" s="16">
        <f>$D30*(1+G$64)</f>
        <v>545876.96769590536</v>
      </c>
      <c r="H78" s="16">
        <f>$D30*(1+H$64)</f>
        <v>569610.74890007521</v>
      </c>
      <c r="I78" s="16">
        <f>$D30*(1+I$64)</f>
        <v>712013.43612509395</v>
      </c>
      <c r="J78" s="16">
        <f>$E30*(1+J$64)</f>
        <v>506839.774137931</v>
      </c>
      <c r="K78" s="16">
        <f>$E30*(1+K$64)</f>
        <v>529877.94568965503</v>
      </c>
      <c r="L78" s="16">
        <f>$E30*(1+L$64)</f>
        <v>552916.11724137922</v>
      </c>
      <c r="M78" s="16">
        <f>$E30*(1+M$64)</f>
        <v>691145.14655172406</v>
      </c>
    </row>
    <row r="79" spans="1:13" x14ac:dyDescent="0.2">
      <c r="A79" s="14" t="str">
        <f>A31</f>
        <v>Du lịch</v>
      </c>
      <c r="B79" s="16">
        <f>$C31*(1+B$64)</f>
        <v>1020787.8620689656</v>
      </c>
      <c r="C79" s="16">
        <f>$C31*(1+C$64)</f>
        <v>1067187.3103448276</v>
      </c>
      <c r="D79" s="16">
        <f>$C31*(1+D$64)</f>
        <v>1113586.7586206896</v>
      </c>
      <c r="E79" s="16">
        <f>$C31*(1+E$64)</f>
        <v>1391983.448275862</v>
      </c>
      <c r="F79" s="16">
        <f>$D31*(1+F$64)</f>
        <v>999028.84800698399</v>
      </c>
      <c r="G79" s="16">
        <f>$D31*(1+G$64)</f>
        <v>1044439.2501891195</v>
      </c>
      <c r="H79" s="16">
        <f>$D31*(1+H$64)</f>
        <v>1089849.6523712552</v>
      </c>
      <c r="I79" s="16">
        <f>$D31*(1+I$64)</f>
        <v>1362312.0654640689</v>
      </c>
      <c r="J79" s="16">
        <f>$E31*(1+J$64)</f>
        <v>969748.46896551724</v>
      </c>
      <c r="K79" s="16">
        <f>$E31*(1+K$64)</f>
        <v>1013827.9448275861</v>
      </c>
      <c r="L79" s="16">
        <f>$E31*(1+L$64)</f>
        <v>1057907.420689655</v>
      </c>
      <c r="M79" s="16">
        <f>$E31*(1+M$64)</f>
        <v>1322384.2758620689</v>
      </c>
    </row>
    <row r="80" spans="1:13" x14ac:dyDescent="0.2">
      <c r="A80" s="11" t="str">
        <f>A32</f>
        <v>Khối Truy cập</v>
      </c>
      <c r="B80" s="13">
        <f>$C32*(1+B$64)</f>
        <v>10190528.586206896</v>
      </c>
      <c r="C80" s="13">
        <f>$C32*(1+C$64)</f>
        <v>10653734.431034481</v>
      </c>
      <c r="D80" s="13">
        <f>$C32*(1+D$64)</f>
        <v>11116940.275862066</v>
      </c>
      <c r="E80" s="13">
        <f>$C32*(1+E$64)</f>
        <v>13896175.344827585</v>
      </c>
      <c r="F80" s="13">
        <f>$D32*(1+F$64)</f>
        <v>9973308.2772223428</v>
      </c>
      <c r="G80" s="13">
        <f>$D32*(1+G$64)</f>
        <v>10426640.471641539</v>
      </c>
      <c r="H80" s="13">
        <f>$D32*(1+H$64)</f>
        <v>10879972.666060736</v>
      </c>
      <c r="I80" s="13">
        <f>$D32*(1+I$64)</f>
        <v>13599965.832575921</v>
      </c>
      <c r="J80" s="13">
        <f>$E32*(1+J$64)</f>
        <v>9681002.1568965502</v>
      </c>
      <c r="K80" s="13">
        <f>$E32*(1+K$64)</f>
        <v>10121047.709482756</v>
      </c>
      <c r="L80" s="13">
        <f>$E32*(1+L$64)</f>
        <v>10561093.262068963</v>
      </c>
      <c r="M80" s="13">
        <f>$E32*(1+M$64)</f>
        <v>13201366.577586204</v>
      </c>
    </row>
    <row r="81" spans="1:13" x14ac:dyDescent="0.2">
      <c r="A81" s="14" t="str">
        <f>A33</f>
        <v>Thể thao</v>
      </c>
      <c r="B81" s="16">
        <f>$C33*(1+B$64)</f>
        <v>7252747.9655172424</v>
      </c>
      <c r="C81" s="16">
        <f>$C33*(1+C$64)</f>
        <v>7582418.3275862066</v>
      </c>
      <c r="D81" s="16">
        <f>$C33*(1+D$64)</f>
        <v>7912088.6896551717</v>
      </c>
      <c r="E81" s="16">
        <f>$C33*(1+E$64)</f>
        <v>9890110.862068966</v>
      </c>
      <c r="F81" s="16">
        <f>$D33*(1+F$64)</f>
        <v>7098149.1004309757</v>
      </c>
      <c r="G81" s="16">
        <f>$D33*(1+G$64)</f>
        <v>7420792.2413596548</v>
      </c>
      <c r="H81" s="16">
        <f>$D33*(1+H$64)</f>
        <v>7743435.3822883358</v>
      </c>
      <c r="I81" s="16">
        <f>$D33*(1+I$64)</f>
        <v>9679294.2278604209</v>
      </c>
      <c r="J81" s="16">
        <f>$E33*(1+J$64)</f>
        <v>6890110.5672413791</v>
      </c>
      <c r="K81" s="16">
        <f>$E33*(1+K$64)</f>
        <v>7203297.4112068955</v>
      </c>
      <c r="L81" s="16">
        <f>$E33*(1+L$64)</f>
        <v>7516484.2551724128</v>
      </c>
      <c r="M81" s="16">
        <f>$E33*(1+M$64)</f>
        <v>9395605.318965517</v>
      </c>
    </row>
    <row r="82" spans="1:13" x14ac:dyDescent="0.2">
      <c r="A82" s="14" t="str">
        <f>A34</f>
        <v>Giải trí</v>
      </c>
      <c r="B82" s="16">
        <f>$C34*(1+B$64)</f>
        <v>2937780.6206896557</v>
      </c>
      <c r="C82" s="16">
        <f>$C34*(1+C$64)</f>
        <v>3071316.1034482759</v>
      </c>
      <c r="D82" s="16">
        <f>$C34*(1+D$64)</f>
        <v>3204851.5862068967</v>
      </c>
      <c r="E82" s="16">
        <f>$C34*(1+E$64)</f>
        <v>4006064.4827586212</v>
      </c>
      <c r="F82" s="16">
        <f>$D34*(1+F$64)</f>
        <v>2875159.1767913694</v>
      </c>
      <c r="G82" s="16">
        <f>$D34*(1+G$64)</f>
        <v>3005848.2302818857</v>
      </c>
      <c r="H82" s="16">
        <f>$D34*(1+H$64)</f>
        <v>3136537.2837724024</v>
      </c>
      <c r="I82" s="16">
        <f>$D34*(1+I$64)</f>
        <v>3920671.6047155033</v>
      </c>
      <c r="J82" s="16">
        <f>$E34*(1+J$64)</f>
        <v>2790891.589655173</v>
      </c>
      <c r="K82" s="16">
        <f>$E34*(1+K$64)</f>
        <v>2917750.2982758624</v>
      </c>
      <c r="L82" s="16">
        <f>$E34*(1+L$64)</f>
        <v>3044609.0068965522</v>
      </c>
      <c r="M82" s="16">
        <f>$E34*(1+M$64)</f>
        <v>3805761.2586206901</v>
      </c>
    </row>
    <row r="83" spans="1:13" x14ac:dyDescent="0.2">
      <c r="A83" s="17" t="str">
        <f>A35</f>
        <v>Toàn Znews</v>
      </c>
      <c r="B83" s="19">
        <f>$C35*(1+B$64)</f>
        <v>28625483.586206898</v>
      </c>
      <c r="C83" s="19">
        <f>$C35*(1+C$64)</f>
        <v>29926641.931034479</v>
      </c>
      <c r="D83" s="19">
        <f>$C35*(1+D$64)</f>
        <v>31227800.275862068</v>
      </c>
      <c r="E83" s="19">
        <f>$C35*(1+E$64)</f>
        <v>39034750.344827585</v>
      </c>
      <c r="F83" s="19">
        <f>$D35*(1+F$64)</f>
        <v>28015305.58250213</v>
      </c>
      <c r="G83" s="19">
        <f>$D35*(1+G$64)</f>
        <v>29288728.56352495</v>
      </c>
      <c r="H83" s="19">
        <f>$D35*(1+H$64)</f>
        <v>30562151.544547774</v>
      </c>
      <c r="I83" s="19">
        <f>$D35*(1+I$64)</f>
        <v>38202689.430684716</v>
      </c>
      <c r="J83" s="19">
        <f>$E35*(1+J$64)</f>
        <v>27194209.40689655</v>
      </c>
      <c r="K83" s="19">
        <f>$E35*(1+K$64)</f>
        <v>28430309.834482756</v>
      </c>
      <c r="L83" s="19">
        <f>$E35*(1+L$64)</f>
        <v>29666410.262068961</v>
      </c>
      <c r="M83" s="19">
        <f>$E35*(1+M$64)</f>
        <v>37083012.827586204</v>
      </c>
    </row>
  </sheetData>
  <mergeCells count="3">
    <mergeCell ref="B63:E63"/>
    <mergeCell ref="F63:I63"/>
    <mergeCell ref="J63:M63"/>
  </mergeCells>
  <dataValidations count="2">
    <dataValidation type="list" allowBlank="1" showInputMessage="1" showErrorMessage="1" sqref="C13" xr:uid="{46BFA565-00B4-6F41-8E66-1A2518169C8E}">
      <formula1>"Gốc,Trừ Zalo thực tế,Trừ 5% Zalo"</formula1>
    </dataValidation>
    <dataValidation type="list" allowBlank="1" showInputMessage="1" sqref="C12" xr:uid="{F6A9923B-8800-EF43-B1EF-0FDA1AE086A3}">
      <formula1>"10%,15%,20%,50%"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Q4 từ 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Le</dc:creator>
  <cp:lastModifiedBy>Anh Le</cp:lastModifiedBy>
  <dcterms:created xsi:type="dcterms:W3CDTF">2026-09-30T14:46:08Z</dcterms:created>
  <dcterms:modified xsi:type="dcterms:W3CDTF">2026-09-30T14:46:23Z</dcterms:modified>
</cp:coreProperties>
</file>